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npirris\Downloads\"/>
    </mc:Choice>
  </mc:AlternateContent>
  <xr:revisionPtr revIDLastSave="0" documentId="13_ncr:1_{E17A1FBF-C700-4561-8F66-8FB232147F59}" xr6:coauthVersionLast="47" xr6:coauthVersionMax="47" xr10:uidLastSave="{00000000-0000-0000-0000-000000000000}"/>
  <bookViews>
    <workbookView xWindow="-120" yWindow="-120" windowWidth="29040" windowHeight="15720" firstSheet="4" activeTab="7" xr2:uid="{00000000-000D-0000-FFFF-FFFF00000000}"/>
  </bookViews>
  <sheets>
    <sheet name="Costos Personal" sheetId="1" r:id="rId1"/>
    <sheet name="Infraestructura" sheetId="2" r:id="rId2"/>
    <sheet name="Equipos" sheetId="3" r:id="rId3"/>
    <sheet name="Matriz Riesgos" sheetId="4" r:id="rId4"/>
    <sheet name="PROYECCION" sheetId="5" r:id="rId5"/>
    <sheet name="TCO" sheetId="6" r:id="rId6"/>
    <sheet name="ROI" sheetId="8" r:id="rId7"/>
    <sheet name="Diagrama de Gantt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10" l="1"/>
  <c r="D39" i="10"/>
  <c r="F19" i="10"/>
  <c r="F27" i="10" s="1"/>
  <c r="F12" i="10"/>
  <c r="F4" i="10"/>
  <c r="B11" i="6"/>
  <c r="B8" i="8" l="1"/>
  <c r="H16" i="5"/>
  <c r="C16" i="5"/>
  <c r="B17" i="5" s="1"/>
  <c r="B23" i="5" s="1"/>
  <c r="B16" i="5"/>
  <c r="I15" i="5"/>
  <c r="C15" i="5"/>
  <c r="I14" i="5"/>
  <c r="C14" i="5"/>
  <c r="I13" i="5"/>
  <c r="I16" i="5" s="1"/>
  <c r="H17" i="5" s="1"/>
  <c r="H23" i="5" s="1"/>
  <c r="C13" i="5"/>
  <c r="H9" i="5"/>
  <c r="H24" i="5" s="1"/>
  <c r="J8" i="5"/>
  <c r="H8" i="5"/>
  <c r="D8" i="5"/>
  <c r="B8" i="5"/>
  <c r="B9" i="5" s="1"/>
  <c r="B24" i="5" s="1"/>
  <c r="D5" i="3"/>
  <c r="B4" i="6" s="1"/>
  <c r="C6" i="2"/>
  <c r="B3" i="6" s="1"/>
  <c r="E25" i="1"/>
  <c r="E21" i="1"/>
  <c r="E16" i="1"/>
  <c r="D16" i="1"/>
  <c r="E15" i="1"/>
  <c r="E13" i="1"/>
  <c r="E24" i="1" s="1"/>
  <c r="F5" i="1" s="1"/>
  <c r="D13" i="1"/>
  <c r="D25" i="1" s="1"/>
  <c r="C13" i="1"/>
  <c r="C16" i="1" s="1"/>
  <c r="B13" i="1"/>
  <c r="B16" i="1" s="1"/>
  <c r="H25" i="5" l="1"/>
  <c r="B25" i="5"/>
  <c r="E18" i="1"/>
  <c r="E19" i="1"/>
  <c r="E20" i="1" s="1"/>
  <c r="B24" i="1"/>
  <c r="F2" i="1" s="1"/>
  <c r="B17" i="1"/>
  <c r="C17" i="1"/>
  <c r="C24" i="1"/>
  <c r="D17" i="1"/>
  <c r="D24" i="1"/>
  <c r="F4" i="1" s="1"/>
  <c r="B21" i="1"/>
  <c r="B25" i="1"/>
  <c r="E17" i="1"/>
  <c r="E5" i="1" s="1"/>
  <c r="G5" i="1" s="1"/>
  <c r="H5" i="1" s="1"/>
  <c r="B15" i="1"/>
  <c r="C15" i="1"/>
  <c r="C21" i="1"/>
  <c r="C25" i="1"/>
  <c r="D15" i="1"/>
  <c r="D21" i="1"/>
  <c r="E3" i="1" l="1"/>
  <c r="G3" i="1" s="1"/>
  <c r="H3" i="1" s="1"/>
  <c r="D18" i="1"/>
  <c r="D19" i="1"/>
  <c r="D20" i="1" s="1"/>
  <c r="C19" i="1"/>
  <c r="C20" i="1" s="1"/>
  <c r="C18" i="1"/>
  <c r="C22" i="1" s="1"/>
  <c r="C27" i="1" s="1"/>
  <c r="B19" i="1"/>
  <c r="B20" i="1" s="1"/>
  <c r="B18" i="1"/>
  <c r="E2" i="1" s="1"/>
  <c r="G2" i="1" s="1"/>
  <c r="E22" i="1"/>
  <c r="E27" i="1" s="1"/>
  <c r="F3" i="1"/>
  <c r="H2" i="1" l="1"/>
  <c r="D22" i="1"/>
  <c r="D27" i="1" s="1"/>
  <c r="B22" i="1"/>
  <c r="B27" i="1" s="1"/>
  <c r="E4" i="1"/>
  <c r="G4" i="1" s="1"/>
  <c r="H4" i="1" s="1"/>
  <c r="G6" i="1" l="1"/>
  <c r="H6" i="1"/>
  <c r="B2" i="6" s="1"/>
  <c r="B5" i="6" s="1"/>
  <c r="B6" i="6" l="1"/>
  <c r="B7" i="6" s="1"/>
  <c r="B8" i="6" l="1"/>
  <c r="B9" i="6" s="1"/>
</calcChain>
</file>

<file path=xl/sharedStrings.xml><?xml version="1.0" encoding="utf-8"?>
<sst xmlns="http://schemas.openxmlformats.org/spreadsheetml/2006/main" count="236" uniqueCount="186">
  <si>
    <t>Cargo</t>
  </si>
  <si>
    <t>Cantidad</t>
  </si>
  <si>
    <t xml:space="preserve">Salario Base Mensual </t>
  </si>
  <si>
    <t>Auxilio Transporte</t>
  </si>
  <si>
    <t>Prestaciones (40%)</t>
  </si>
  <si>
    <t>salud + pension empleado</t>
  </si>
  <si>
    <t>Costo Total Mensual</t>
  </si>
  <si>
    <t>Costo Total Anual</t>
  </si>
  <si>
    <t>Líder Técnico Junior</t>
  </si>
  <si>
    <t>Desarrollador Junior</t>
  </si>
  <si>
    <t>Testing</t>
  </si>
  <si>
    <t>Lider tecnico</t>
  </si>
  <si>
    <t>salario base</t>
  </si>
  <si>
    <t>auxilio de trasnporte</t>
  </si>
  <si>
    <t>pension 12%</t>
  </si>
  <si>
    <t>ARL 0.52%</t>
  </si>
  <si>
    <t>Prima 8.33%</t>
  </si>
  <si>
    <t>Censatias 8.33%</t>
  </si>
  <si>
    <t>Interes cesantias 1%</t>
  </si>
  <si>
    <t>Vacaciones 4.17%</t>
  </si>
  <si>
    <t>Total</t>
  </si>
  <si>
    <t>salud 4%</t>
  </si>
  <si>
    <t>pension 4%</t>
  </si>
  <si>
    <t>Total devengado</t>
  </si>
  <si>
    <t>Concepto</t>
  </si>
  <si>
    <t>Valor Mensual</t>
  </si>
  <si>
    <t>Valor Anual</t>
  </si>
  <si>
    <t>Hosting VPS o nube</t>
  </si>
  <si>
    <t>Dominio web (.com)</t>
  </si>
  <si>
    <t>Certificado SSL</t>
  </si>
  <si>
    <t>Base de datos cloud</t>
  </si>
  <si>
    <t>Equipo</t>
  </si>
  <si>
    <t>Valor Unitario</t>
  </si>
  <si>
    <t>Computadores Portátiles</t>
  </si>
  <si>
    <t>Mouse y periféricos</t>
  </si>
  <si>
    <t>UPS o reguladores</t>
  </si>
  <si>
    <t>Riesgo</t>
  </si>
  <si>
    <t>Probabilidad</t>
  </si>
  <si>
    <t>Impacto</t>
  </si>
  <si>
    <t>Nivel</t>
  </si>
  <si>
    <t>Mitigación</t>
  </si>
  <si>
    <t>Retrasos en el desarrollo</t>
  </si>
  <si>
    <t>Alta</t>
  </si>
  <si>
    <t>Crítico</t>
  </si>
  <si>
    <t>Uso de metodologías ágiles</t>
  </si>
  <si>
    <t>Pérdida de información</t>
  </si>
  <si>
    <t>Media</t>
  </si>
  <si>
    <t>Alto</t>
  </si>
  <si>
    <t>Backups automáticos</t>
  </si>
  <si>
    <t>Fallas del servidor</t>
  </si>
  <si>
    <t>Hosting con redundancia</t>
  </si>
  <si>
    <t>Renuncia de un integrante</t>
  </si>
  <si>
    <t>Baja</t>
  </si>
  <si>
    <t>Medio</t>
  </si>
  <si>
    <t>Documentación constante</t>
  </si>
  <si>
    <t>Cambios en requisitos</t>
  </si>
  <si>
    <t>Actas de requerimientos</t>
  </si>
  <si>
    <t>Vulnerabilidades de seguridad</t>
  </si>
  <si>
    <t>Pruebas de seguridad</t>
  </si>
  <si>
    <t>COSTOS Y INGRESOS ANTES DE APLICACIÓN</t>
  </si>
  <si>
    <t>COSTOS Y INGRESOS DESPUES DE APLICACIÓN</t>
  </si>
  <si>
    <t>GASTOS SUELDOS</t>
  </si>
  <si>
    <t>GASTOS ADMINISTRATIVOS</t>
  </si>
  <si>
    <t>VETERINARIO 1</t>
  </si>
  <si>
    <t>ARRIENDO</t>
  </si>
  <si>
    <t>VETERINARIO 2</t>
  </si>
  <si>
    <t>SERVICIOS AGUA + LUZ</t>
  </si>
  <si>
    <t>SERVICIOS AGUA + LUZ (25%)</t>
  </si>
  <si>
    <t>RECEPCIONISTA</t>
  </si>
  <si>
    <t>PAPELERIA</t>
  </si>
  <si>
    <t>PELQUERO CANINO</t>
  </si>
  <si>
    <t>INTERNET</t>
  </si>
  <si>
    <t>N/A</t>
  </si>
  <si>
    <t>PELUQUERO CANINO</t>
  </si>
  <si>
    <t>TOTAL GASTOS MENSUALES</t>
  </si>
  <si>
    <t>TOTAL</t>
  </si>
  <si>
    <t>INGRESOS SEMANALES ACTUALMENTE</t>
  </si>
  <si>
    <t>INGRESOS SEMANALES PROYECTADOS</t>
  </si>
  <si>
    <t>PROFESIONAL</t>
  </si>
  <si>
    <t>PACIENTES SEMANALES</t>
  </si>
  <si>
    <t>TOTAL INGRESOS SEMANA</t>
  </si>
  <si>
    <t>VETERINARIO2</t>
  </si>
  <si>
    <t>PELQUERO CANINO X 2</t>
  </si>
  <si>
    <t>TOTAL SEMANA</t>
  </si>
  <si>
    <t>INGRESOS MENSUALES</t>
  </si>
  <si>
    <t xml:space="preserve">COSTO CONSULTA GENERAL </t>
  </si>
  <si>
    <t>COSTO PELUQUERIA</t>
  </si>
  <si>
    <t>TOTAL INGRESOS ANUALES</t>
  </si>
  <si>
    <t>TOTAL GASTOS ANUALES</t>
  </si>
  <si>
    <t>UTILIDAD</t>
  </si>
  <si>
    <t>Categoría</t>
  </si>
  <si>
    <t>Valor</t>
  </si>
  <si>
    <t>Personal</t>
  </si>
  <si>
    <t>Infraestructura</t>
  </si>
  <si>
    <t>Equipos</t>
  </si>
  <si>
    <t>TOTAL GENERAL</t>
  </si>
  <si>
    <t>Contingecia 10%</t>
  </si>
  <si>
    <t>Ganancia 50%</t>
  </si>
  <si>
    <t>COSTO TOTAL PROYECTO</t>
  </si>
  <si>
    <t>ROI - RETORNO DE INVERSIÓN</t>
  </si>
  <si>
    <t>Ingresos anuales proyectados</t>
  </si>
  <si>
    <t>Gastos anuales proyectados</t>
  </si>
  <si>
    <t>Utilidad anual proyectada</t>
  </si>
  <si>
    <t>Costo total del proyecto</t>
  </si>
  <si>
    <t>ROI (%)</t>
  </si>
  <si>
    <t>Trimestre</t>
  </si>
  <si>
    <t>Inicio estimado</t>
  </si>
  <si>
    <t>Duración estimada (días hábiles)</t>
  </si>
  <si>
    <t>Fin estimado</t>
  </si>
  <si>
    <t>Nombre del proyecto y alcance</t>
  </si>
  <si>
    <t>Diagrama del proceso actual</t>
  </si>
  <si>
    <t>Recolección y análisis de datos</t>
  </si>
  <si>
    <t>Requerimientos IEEE / Historias de usuario</t>
  </si>
  <si>
    <t>Casos de uso y documentación</t>
  </si>
  <si>
    <t>Mockups y wireframes</t>
  </si>
  <si>
    <t>Estimación de costos e infraestructura</t>
  </si>
  <si>
    <t>Control de versiones inicial</t>
  </si>
  <si>
    <t>Normalización 3FN</t>
  </si>
  <si>
    <t>Diccionario de datos</t>
  </si>
  <si>
    <t>Modelo relacional</t>
  </si>
  <si>
    <t>Diagrama de clases</t>
  </si>
  <si>
    <t>Diagrama de despliegue</t>
  </si>
  <si>
    <t>Prototipo navegable HTML/CSS</t>
  </si>
  <si>
    <t>Control de versiones y ramas</t>
  </si>
  <si>
    <t>Construcción base de datos DDL</t>
  </si>
  <si>
    <t>Consultas DML y CRUD</t>
  </si>
  <si>
    <t>Seguridad y cifrado</t>
  </si>
  <si>
    <t>Front-End funcional</t>
  </si>
  <si>
    <t>Control de versiones</t>
  </si>
  <si>
    <t>API REST segura JWT</t>
  </si>
  <si>
    <t>Consumo Front-End API 80%</t>
  </si>
  <si>
    <t>Sistema completo 100%</t>
  </si>
  <si>
    <t>Aplicación móvil</t>
  </si>
  <si>
    <t>Documentación API</t>
  </si>
  <si>
    <t>Metodología ágil</t>
  </si>
  <si>
    <t>Pruebas de software</t>
  </si>
  <si>
    <t>Plan de instalación y migración</t>
  </si>
  <si>
    <t>Modelo de calidad</t>
  </si>
  <si>
    <t>Manuales técnicos y usuario</t>
  </si>
  <si>
    <t>Despliegue del aplicativo</t>
  </si>
  <si>
    <t>Control de versiones final</t>
  </si>
  <si>
    <t>Fecha Inicio</t>
  </si>
  <si>
    <t>Fecha Final</t>
  </si>
  <si>
    <t>Total dias Habiles</t>
  </si>
  <si>
    <t>Trimestre 1 Analisis y Planeación</t>
  </si>
  <si>
    <t>Trimestre 2 Diseño de Sistema</t>
  </si>
  <si>
    <t>Costo Total Trimestre</t>
  </si>
  <si>
    <t>Trimestre  3 Desarrollo e Integración</t>
  </si>
  <si>
    <t>Trimestre  4 Prueba y Despliegue</t>
  </si>
  <si>
    <t>Costo por Trimestre</t>
  </si>
  <si>
    <t>Actividades</t>
  </si>
  <si>
    <t>Descripción</t>
  </si>
  <si>
    <t>Actividad 1</t>
  </si>
  <si>
    <t>Actividad 1.2</t>
  </si>
  <si>
    <t>Actividad 1.3</t>
  </si>
  <si>
    <t>Actividad 1.4</t>
  </si>
  <si>
    <t>Actividad 1.5</t>
  </si>
  <si>
    <t>Actividad 1.6</t>
  </si>
  <si>
    <t>Actividad 1.7</t>
  </si>
  <si>
    <t>Actividad 1.8</t>
  </si>
  <si>
    <t>Actividad 2</t>
  </si>
  <si>
    <t>Actividad 2.2</t>
  </si>
  <si>
    <t>Actividad 2.3</t>
  </si>
  <si>
    <t>Actividad 2.4</t>
  </si>
  <si>
    <t>Actividad 2.5</t>
  </si>
  <si>
    <t>Actividad 2.6</t>
  </si>
  <si>
    <t>Actividad 2.7</t>
  </si>
  <si>
    <t>Actividad 3</t>
  </si>
  <si>
    <t>Actividad 3.2</t>
  </si>
  <si>
    <t>Actividad 3.3</t>
  </si>
  <si>
    <t>Actividad 3.4</t>
  </si>
  <si>
    <t>Actividad 3.5</t>
  </si>
  <si>
    <t>Actividad 3.6</t>
  </si>
  <si>
    <t>Actividad 3.7</t>
  </si>
  <si>
    <t>Actividad 3.8</t>
  </si>
  <si>
    <t>Actividad 4</t>
  </si>
  <si>
    <t>Actividad 4.2</t>
  </si>
  <si>
    <t>Actividad 4.3</t>
  </si>
  <si>
    <t>Actividad 4.4</t>
  </si>
  <si>
    <t>Actividad 4.5</t>
  </si>
  <si>
    <t>Actividad 4.6</t>
  </si>
  <si>
    <t>Actividad 4.7</t>
  </si>
  <si>
    <t>Actividad 4.8</t>
  </si>
  <si>
    <t>Actividad 4.9</t>
  </si>
  <si>
    <t>Actividad 4.10</t>
  </si>
  <si>
    <t>Actividad 4.11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</si>
</sst>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-&quot;$&quot;* #,##0_-;\-&quot;$&quot;* #,##0_-;_-&quot;$&quot;* &quot;-&quot;??_-;_-@"/>
    <numFmt numFmtId="165" formatCode="_-&quot;$&quot;* #,##0.00_-;\-&quot;$&quot;* #,##0.00_-;_-&quot;$&quot;* &quot;-&quot;??_-;_-@"/>
    <numFmt numFmtId="166" formatCode="_-&quot;$&quot;\ * #,##0_-;\-&quot;$&quot;\ * #,##0_-;_-&quot;$&quot;\ * &quot;-&quot;??_-;_-@"/>
    <numFmt numFmtId="167" formatCode="_-&quot;$&quot;\ * #,##0_-;\-&quot;$&quot;\ * #,##0_-;_-&quot;$&quot;\ * &quot;-&quot;??_-;_-@_-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b/>
      <sz val="16"/>
      <color theme="1"/>
      <name val="Calibri"/>
    </font>
    <font>
      <b/>
      <sz val="1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mbria"/>
      <family val="1"/>
    </font>
    <font>
      <b/>
      <sz val="11"/>
      <name val="Calibri"/>
      <family val="2"/>
    </font>
    <font>
      <sz val="8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</cellStyleXfs>
  <cellXfs count="100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3" fillId="3" borderId="2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164" fontId="3" fillId="4" borderId="1" xfId="0" applyNumberFormat="1" applyFont="1" applyFill="1" applyBorder="1"/>
    <xf numFmtId="0" fontId="4" fillId="3" borderId="1" xfId="0" applyFont="1" applyFill="1" applyBorder="1"/>
    <xf numFmtId="0" fontId="5" fillId="0" borderId="0" xfId="0" applyFont="1"/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0" borderId="0" xfId="0" applyFont="1"/>
    <xf numFmtId="166" fontId="3" fillId="0" borderId="1" xfId="0" applyNumberFormat="1" applyFont="1" applyBorder="1"/>
    <xf numFmtId="0" fontId="2" fillId="0" borderId="1" xfId="0" applyFont="1" applyBorder="1"/>
    <xf numFmtId="0" fontId="2" fillId="0" borderId="7" xfId="0" applyFont="1" applyBorder="1"/>
    <xf numFmtId="0" fontId="2" fillId="0" borderId="0" xfId="0" applyFont="1"/>
    <xf numFmtId="166" fontId="3" fillId="0" borderId="0" xfId="0" applyNumberFormat="1" applyFont="1"/>
    <xf numFmtId="0" fontId="2" fillId="7" borderId="1" xfId="0" applyFont="1" applyFill="1" applyBorder="1"/>
    <xf numFmtId="166" fontId="3" fillId="0" borderId="4" xfId="0" applyNumberFormat="1" applyFont="1" applyBorder="1"/>
    <xf numFmtId="0" fontId="3" fillId="0" borderId="8" xfId="0" applyFont="1" applyBorder="1"/>
    <xf numFmtId="0" fontId="2" fillId="6" borderId="1" xfId="0" applyFont="1" applyFill="1" applyBorder="1"/>
    <xf numFmtId="0" fontId="2" fillId="5" borderId="1" xfId="0" applyFont="1" applyFill="1" applyBorder="1"/>
    <xf numFmtId="0" fontId="2" fillId="8" borderId="1" xfId="0" applyFont="1" applyFill="1" applyBorder="1"/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166" fontId="3" fillId="0" borderId="1" xfId="0" applyNumberFormat="1" applyFont="1" applyBorder="1" applyAlignment="1">
      <alignment horizontal="right" wrapText="1"/>
    </xf>
    <xf numFmtId="167" fontId="0" fillId="0" borderId="0" xfId="0" applyNumberFormat="1"/>
    <xf numFmtId="0" fontId="0" fillId="0" borderId="9" xfId="0" applyBorder="1"/>
    <xf numFmtId="167" fontId="0" fillId="0" borderId="9" xfId="1" applyNumberFormat="1" applyFont="1" applyBorder="1"/>
    <xf numFmtId="9" fontId="0" fillId="0" borderId="9" xfId="2" applyFont="1" applyBorder="1"/>
    <xf numFmtId="0" fontId="6" fillId="9" borderId="0" xfId="0" applyFont="1" applyFill="1"/>
    <xf numFmtId="0" fontId="6" fillId="9" borderId="9" xfId="0" applyFont="1" applyFill="1" applyBorder="1"/>
    <xf numFmtId="0" fontId="6" fillId="9" borderId="9" xfId="3" applyFont="1" applyFill="1" applyBorder="1"/>
    <xf numFmtId="0" fontId="1" fillId="0" borderId="0" xfId="3"/>
    <xf numFmtId="14" fontId="1" fillId="0" borderId="0" xfId="3" applyNumberFormat="1"/>
    <xf numFmtId="0" fontId="11" fillId="9" borderId="9" xfId="3" applyFont="1" applyFill="1" applyBorder="1"/>
    <xf numFmtId="0" fontId="8" fillId="9" borderId="9" xfId="3" applyFont="1" applyFill="1" applyBorder="1"/>
    <xf numFmtId="0" fontId="9" fillId="0" borderId="0" xfId="0" applyFont="1" applyAlignment="1">
      <alignment wrapText="1"/>
    </xf>
    <xf numFmtId="0" fontId="1" fillId="0" borderId="0" xfId="3" applyAlignment="1">
      <alignment horizontal="center"/>
    </xf>
    <xf numFmtId="0" fontId="1" fillId="10" borderId="9" xfId="3" applyFill="1" applyBorder="1" applyAlignment="1">
      <alignment horizontal="center" vertical="center"/>
    </xf>
    <xf numFmtId="0" fontId="1" fillId="11" borderId="9" xfId="3" applyFill="1" applyBorder="1" applyAlignment="1">
      <alignment horizontal="center" vertical="center"/>
    </xf>
    <xf numFmtId="0" fontId="1" fillId="12" borderId="9" xfId="3" applyFill="1" applyBorder="1" applyAlignment="1">
      <alignment horizontal="center" vertical="center"/>
    </xf>
    <xf numFmtId="0" fontId="1" fillId="13" borderId="9" xfId="3" applyFill="1" applyBorder="1" applyAlignment="1">
      <alignment horizontal="center" vertical="center"/>
    </xf>
    <xf numFmtId="0" fontId="8" fillId="12" borderId="10" xfId="3" applyFont="1" applyFill="1" applyBorder="1" applyAlignment="1">
      <alignment horizontal="center" vertical="center"/>
    </xf>
    <xf numFmtId="0" fontId="8" fillId="12" borderId="11" xfId="3" applyFont="1" applyFill="1" applyBorder="1" applyAlignment="1">
      <alignment horizontal="center" vertical="center"/>
    </xf>
    <xf numFmtId="0" fontId="8" fillId="12" borderId="12" xfId="3" applyFont="1" applyFill="1" applyBorder="1" applyAlignment="1">
      <alignment horizontal="center" vertical="center"/>
    </xf>
    <xf numFmtId="167" fontId="8" fillId="12" borderId="10" xfId="1" applyNumberFormat="1" applyFont="1" applyFill="1" applyBorder="1" applyAlignment="1">
      <alignment horizontal="center" vertical="center"/>
    </xf>
    <xf numFmtId="167" fontId="8" fillId="12" borderId="11" xfId="1" applyNumberFormat="1" applyFont="1" applyFill="1" applyBorder="1" applyAlignment="1">
      <alignment horizontal="center" vertical="center"/>
    </xf>
    <xf numFmtId="167" fontId="8" fillId="12" borderId="12" xfId="1" applyNumberFormat="1" applyFont="1" applyFill="1" applyBorder="1" applyAlignment="1">
      <alignment horizontal="center" vertical="center"/>
    </xf>
    <xf numFmtId="167" fontId="8" fillId="13" borderId="10" xfId="1" applyNumberFormat="1" applyFont="1" applyFill="1" applyBorder="1" applyAlignment="1">
      <alignment horizontal="center" vertical="center"/>
    </xf>
    <xf numFmtId="167" fontId="8" fillId="13" borderId="11" xfId="1" applyNumberFormat="1" applyFont="1" applyFill="1" applyBorder="1" applyAlignment="1">
      <alignment horizontal="center" vertical="center"/>
    </xf>
    <xf numFmtId="167" fontId="8" fillId="13" borderId="12" xfId="1" applyNumberFormat="1" applyFont="1" applyFill="1" applyBorder="1" applyAlignment="1">
      <alignment horizontal="center" vertical="center"/>
    </xf>
    <xf numFmtId="0" fontId="8" fillId="13" borderId="10" xfId="3" applyFont="1" applyFill="1" applyBorder="1" applyAlignment="1">
      <alignment horizontal="center" vertical="center"/>
    </xf>
    <xf numFmtId="0" fontId="8" fillId="13" borderId="11" xfId="3" applyFont="1" applyFill="1" applyBorder="1" applyAlignment="1">
      <alignment horizontal="center" vertical="center"/>
    </xf>
    <xf numFmtId="0" fontId="8" fillId="13" borderId="12" xfId="3" applyFont="1" applyFill="1" applyBorder="1" applyAlignment="1">
      <alignment horizontal="center" vertical="center"/>
    </xf>
    <xf numFmtId="0" fontId="8" fillId="10" borderId="10" xfId="3" applyFont="1" applyFill="1" applyBorder="1" applyAlignment="1">
      <alignment horizontal="center" vertical="center"/>
    </xf>
    <xf numFmtId="0" fontId="8" fillId="10" borderId="11" xfId="3" applyFont="1" applyFill="1" applyBorder="1" applyAlignment="1">
      <alignment horizontal="center" vertical="center"/>
    </xf>
    <xf numFmtId="0" fontId="8" fillId="10" borderId="12" xfId="3" applyFont="1" applyFill="1" applyBorder="1" applyAlignment="1">
      <alignment horizontal="center" vertical="center"/>
    </xf>
    <xf numFmtId="0" fontId="8" fillId="11" borderId="10" xfId="3" applyFont="1" applyFill="1" applyBorder="1" applyAlignment="1">
      <alignment horizontal="center" vertical="center"/>
    </xf>
    <xf numFmtId="0" fontId="8" fillId="11" borderId="11" xfId="3" applyFont="1" applyFill="1" applyBorder="1" applyAlignment="1">
      <alignment horizontal="center" vertical="center"/>
    </xf>
    <xf numFmtId="0" fontId="8" fillId="11" borderId="12" xfId="3" applyFont="1" applyFill="1" applyBorder="1" applyAlignment="1">
      <alignment horizontal="center" vertical="center"/>
    </xf>
    <xf numFmtId="167" fontId="8" fillId="10" borderId="10" xfId="1" applyNumberFormat="1" applyFont="1" applyFill="1" applyBorder="1" applyAlignment="1">
      <alignment horizontal="center" vertical="center"/>
    </xf>
    <xf numFmtId="167" fontId="8" fillId="10" borderId="11" xfId="1" applyNumberFormat="1" applyFont="1" applyFill="1" applyBorder="1" applyAlignment="1">
      <alignment horizontal="center" vertical="center"/>
    </xf>
    <xf numFmtId="167" fontId="8" fillId="10" borderId="12" xfId="1" applyNumberFormat="1" applyFont="1" applyFill="1" applyBorder="1" applyAlignment="1">
      <alignment horizontal="center" vertical="center"/>
    </xf>
    <xf numFmtId="167" fontId="8" fillId="11" borderId="10" xfId="1" applyNumberFormat="1" applyFont="1" applyFill="1" applyBorder="1" applyAlignment="1">
      <alignment horizontal="center" vertical="center"/>
    </xf>
    <xf numFmtId="167" fontId="8" fillId="11" borderId="11" xfId="1" applyNumberFormat="1" applyFont="1" applyFill="1" applyBorder="1" applyAlignment="1">
      <alignment horizontal="center" vertical="center"/>
    </xf>
    <xf numFmtId="167" fontId="8" fillId="11" borderId="12" xfId="1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0" fillId="0" borderId="3" xfId="0" applyBorder="1"/>
    <xf numFmtId="0" fontId="2" fillId="6" borderId="1" xfId="0" applyFont="1" applyFill="1" applyBorder="1" applyAlignment="1">
      <alignment horizontal="center"/>
    </xf>
    <xf numFmtId="0" fontId="0" fillId="0" borderId="6" xfId="0" applyBorder="1"/>
    <xf numFmtId="0" fontId="0" fillId="0" borderId="5" xfId="0" applyBorder="1"/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4" fontId="8" fillId="10" borderId="9" xfId="3" applyNumberFormat="1" applyFont="1" applyFill="1" applyBorder="1" applyAlignment="1">
      <alignment vertical="center"/>
    </xf>
    <xf numFmtId="14" fontId="8" fillId="11" borderId="9" xfId="3" applyNumberFormat="1" applyFont="1" applyFill="1" applyBorder="1" applyAlignment="1">
      <alignment vertical="center"/>
    </xf>
    <xf numFmtId="14" fontId="8" fillId="13" borderId="9" xfId="3" applyNumberFormat="1" applyFont="1" applyFill="1" applyBorder="1" applyAlignment="1">
      <alignment vertical="center"/>
    </xf>
    <xf numFmtId="14" fontId="8" fillId="12" borderId="9" xfId="3" applyNumberFormat="1" applyFont="1" applyFill="1" applyBorder="1" applyAlignment="1">
      <alignment vertical="center"/>
    </xf>
    <xf numFmtId="0" fontId="8" fillId="10" borderId="13" xfId="3" applyFont="1" applyFill="1" applyBorder="1" applyAlignment="1">
      <alignment horizontal="center" vertical="center"/>
    </xf>
    <xf numFmtId="0" fontId="8" fillId="10" borderId="14" xfId="3" applyFont="1" applyFill="1" applyBorder="1" applyAlignment="1">
      <alignment horizontal="center" vertical="center"/>
    </xf>
    <xf numFmtId="0" fontId="8" fillId="10" borderId="15" xfId="3" applyFont="1" applyFill="1" applyBorder="1" applyAlignment="1">
      <alignment horizontal="center" vertical="center"/>
    </xf>
    <xf numFmtId="0" fontId="8" fillId="11" borderId="13" xfId="3" applyFont="1" applyFill="1" applyBorder="1" applyAlignment="1">
      <alignment horizontal="center" vertical="center"/>
    </xf>
    <xf numFmtId="0" fontId="8" fillId="11" borderId="14" xfId="3" applyFont="1" applyFill="1" applyBorder="1" applyAlignment="1">
      <alignment horizontal="center" vertical="center"/>
    </xf>
    <xf numFmtId="0" fontId="8" fillId="11" borderId="15" xfId="3" applyFont="1" applyFill="1" applyBorder="1" applyAlignment="1">
      <alignment horizontal="center" vertical="center"/>
    </xf>
    <xf numFmtId="0" fontId="8" fillId="13" borderId="13" xfId="3" applyFont="1" applyFill="1" applyBorder="1" applyAlignment="1">
      <alignment horizontal="center" vertical="center"/>
    </xf>
    <xf numFmtId="0" fontId="8" fillId="13" borderId="14" xfId="3" applyFont="1" applyFill="1" applyBorder="1" applyAlignment="1">
      <alignment horizontal="center" vertical="center"/>
    </xf>
    <xf numFmtId="0" fontId="8" fillId="13" borderId="15" xfId="3" applyFont="1" applyFill="1" applyBorder="1" applyAlignment="1">
      <alignment horizontal="center" vertical="center"/>
    </xf>
    <xf numFmtId="0" fontId="8" fillId="12" borderId="13" xfId="3" applyFont="1" applyFill="1" applyBorder="1" applyAlignment="1">
      <alignment horizontal="center" vertical="center"/>
    </xf>
    <xf numFmtId="0" fontId="8" fillId="12" borderId="14" xfId="3" applyFont="1" applyFill="1" applyBorder="1" applyAlignment="1">
      <alignment horizontal="center" vertical="center"/>
    </xf>
    <xf numFmtId="0" fontId="8" fillId="12" borderId="15" xfId="3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vertical="center" wrapText="1"/>
    </xf>
    <xf numFmtId="0" fontId="10" fillId="11" borderId="6" xfId="0" applyFont="1" applyFill="1" applyBorder="1" applyAlignment="1">
      <alignment vertical="center" wrapText="1"/>
    </xf>
    <xf numFmtId="0" fontId="10" fillId="13" borderId="6" xfId="0" applyFont="1" applyFill="1" applyBorder="1" applyAlignment="1">
      <alignment vertical="center" wrapText="1"/>
    </xf>
    <xf numFmtId="0" fontId="10" fillId="12" borderId="6" xfId="0" applyFont="1" applyFill="1" applyBorder="1" applyAlignment="1">
      <alignment vertical="center" wrapText="1"/>
    </xf>
    <xf numFmtId="0" fontId="8" fillId="10" borderId="9" xfId="3" applyFont="1" applyFill="1" applyBorder="1" applyAlignment="1">
      <alignment horizontal="center" vertical="center"/>
    </xf>
    <xf numFmtId="0" fontId="8" fillId="11" borderId="9" xfId="3" applyFont="1" applyFill="1" applyBorder="1" applyAlignment="1">
      <alignment horizontal="center" vertical="center"/>
    </xf>
    <xf numFmtId="0" fontId="8" fillId="13" borderId="9" xfId="3" applyFont="1" applyFill="1" applyBorder="1" applyAlignment="1">
      <alignment horizontal="center" vertical="center"/>
    </xf>
    <xf numFmtId="0" fontId="8" fillId="12" borderId="9" xfId="3" applyFont="1" applyFill="1" applyBorder="1" applyAlignment="1">
      <alignment horizontal="center" vertical="center"/>
    </xf>
  </cellXfs>
  <cellStyles count="4">
    <cellStyle name="Moneda" xfId="1" builtinId="4"/>
    <cellStyle name="Normal" xfId="0" builtinId="0"/>
    <cellStyle name="Normal 2" xfId="3" xr:uid="{BBEB36E5-4191-41AF-9682-6DDCD3BF5C27}"/>
    <cellStyle name="Porcentaje" xfId="2" builtinId="5"/>
  </cellStyles>
  <dxfs count="0"/>
  <tableStyles count="0" defaultTableStyle="TableStyleMedium2" defaultPivotStyle="PivotStyleLight16"/>
  <colors>
    <mruColors>
      <color rgb="FFFDEAD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3600" b="1"/>
              <a:t>Diagrama</a:t>
            </a:r>
            <a:r>
              <a:rPr lang="es-CO" sz="3600" b="1" baseline="0"/>
              <a:t> de Gantt</a:t>
            </a:r>
            <a:endParaRPr lang="es-CO" sz="3600" b="1"/>
          </a:p>
        </c:rich>
      </c:tx>
      <c:overlay val="0"/>
      <c:spPr>
        <a:noFill/>
        <a:ln>
          <a:noFill/>
        </a:ln>
        <a:effectLst>
          <a:outerShdw blurRad="50800" dist="50800" dir="5400000" algn="ctr" rotWithShape="0">
            <a:schemeClr val="accent5">
              <a:lumMod val="75000"/>
            </a:scheme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4.3956362098089674E-2"/>
          <c:y val="0.16261076877855482"/>
          <c:w val="0.94880849589010785"/>
          <c:h val="0.82071715239461529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'Diagrama de Gantt'!$B$4:$B$37</c:f>
              <c:strCache>
                <c:ptCount val="34"/>
                <c:pt idx="0">
                  <c:v>Actividad 1</c:v>
                </c:pt>
                <c:pt idx="1">
                  <c:v>Actividad 1.2</c:v>
                </c:pt>
                <c:pt idx="2">
                  <c:v>Actividad 1.3</c:v>
                </c:pt>
                <c:pt idx="3">
                  <c:v>Actividad 1.4</c:v>
                </c:pt>
                <c:pt idx="4">
                  <c:v>Actividad 1.5</c:v>
                </c:pt>
                <c:pt idx="5">
                  <c:v>Actividad 1.6</c:v>
                </c:pt>
                <c:pt idx="6">
                  <c:v>Actividad 1.7</c:v>
                </c:pt>
                <c:pt idx="7">
                  <c:v>Actividad 1.8</c:v>
                </c:pt>
                <c:pt idx="8">
                  <c:v>Actividad 2</c:v>
                </c:pt>
                <c:pt idx="9">
                  <c:v>Actividad 2.2</c:v>
                </c:pt>
                <c:pt idx="10">
                  <c:v>Actividad 2.3</c:v>
                </c:pt>
                <c:pt idx="11">
                  <c:v>Actividad 2.4</c:v>
                </c:pt>
                <c:pt idx="12">
                  <c:v>Actividad 2.5</c:v>
                </c:pt>
                <c:pt idx="13">
                  <c:v>Actividad 2.6</c:v>
                </c:pt>
                <c:pt idx="14">
                  <c:v>Actividad 2.7</c:v>
                </c:pt>
                <c:pt idx="15">
                  <c:v>Actividad 3</c:v>
                </c:pt>
                <c:pt idx="16">
                  <c:v>Actividad 3.2</c:v>
                </c:pt>
                <c:pt idx="17">
                  <c:v>Actividad 3.3</c:v>
                </c:pt>
                <c:pt idx="18">
                  <c:v>Actividad 3.4</c:v>
                </c:pt>
                <c:pt idx="19">
                  <c:v>Actividad 3.5</c:v>
                </c:pt>
                <c:pt idx="20">
                  <c:v>Actividad 3.6</c:v>
                </c:pt>
                <c:pt idx="21">
                  <c:v>Actividad 3.7</c:v>
                </c:pt>
                <c:pt idx="22">
                  <c:v>Actividad 3.8</c:v>
                </c:pt>
                <c:pt idx="23">
                  <c:v>Actividad 4</c:v>
                </c:pt>
                <c:pt idx="24">
                  <c:v>Actividad 4.2</c:v>
                </c:pt>
                <c:pt idx="25">
                  <c:v>Actividad 4.3</c:v>
                </c:pt>
                <c:pt idx="26">
                  <c:v>Actividad 4.4</c:v>
                </c:pt>
                <c:pt idx="27">
                  <c:v>Actividad 4.5</c:v>
                </c:pt>
                <c:pt idx="28">
                  <c:v>Actividad 4.6</c:v>
                </c:pt>
                <c:pt idx="29">
                  <c:v>Actividad 4.7</c:v>
                </c:pt>
                <c:pt idx="30">
                  <c:v>Actividad 4.8</c:v>
                </c:pt>
                <c:pt idx="31">
                  <c:v>Actividad 4.9</c:v>
                </c:pt>
                <c:pt idx="32">
                  <c:v>Actividad 4.10</c:v>
                </c:pt>
                <c:pt idx="33">
                  <c:v>Actividad 4.11</c:v>
                </c:pt>
              </c:strCache>
            </c:strRef>
          </c:cat>
          <c:val>
            <c:numRef>
              <c:f>'Diagrama de Gantt'!$D$4:$D$37</c:f>
              <c:numCache>
                <c:formatCode>m/d/yyyy</c:formatCode>
                <c:ptCount val="34"/>
                <c:pt idx="0">
                  <c:v>46132</c:v>
                </c:pt>
                <c:pt idx="1">
                  <c:v>46139</c:v>
                </c:pt>
                <c:pt idx="2">
                  <c:v>46143</c:v>
                </c:pt>
                <c:pt idx="3">
                  <c:v>46153</c:v>
                </c:pt>
                <c:pt idx="4">
                  <c:v>46164</c:v>
                </c:pt>
                <c:pt idx="5">
                  <c:v>46175</c:v>
                </c:pt>
                <c:pt idx="6">
                  <c:v>46184</c:v>
                </c:pt>
                <c:pt idx="7">
                  <c:v>46195</c:v>
                </c:pt>
                <c:pt idx="8">
                  <c:v>46198</c:v>
                </c:pt>
                <c:pt idx="9">
                  <c:v>46203</c:v>
                </c:pt>
                <c:pt idx="10">
                  <c:v>46206</c:v>
                </c:pt>
                <c:pt idx="11">
                  <c:v>46210</c:v>
                </c:pt>
                <c:pt idx="12">
                  <c:v>46213</c:v>
                </c:pt>
                <c:pt idx="13">
                  <c:v>46217</c:v>
                </c:pt>
                <c:pt idx="14">
                  <c:v>46225</c:v>
                </c:pt>
                <c:pt idx="15">
                  <c:v>46230</c:v>
                </c:pt>
                <c:pt idx="16">
                  <c:v>46233</c:v>
                </c:pt>
                <c:pt idx="17">
                  <c:v>46240</c:v>
                </c:pt>
                <c:pt idx="18">
                  <c:v>46247</c:v>
                </c:pt>
                <c:pt idx="19">
                  <c:v>46268</c:v>
                </c:pt>
                <c:pt idx="20">
                  <c:v>46268</c:v>
                </c:pt>
                <c:pt idx="21">
                  <c:v>46282</c:v>
                </c:pt>
                <c:pt idx="22">
                  <c:v>46303</c:v>
                </c:pt>
                <c:pt idx="23">
                  <c:v>46308</c:v>
                </c:pt>
                <c:pt idx="24">
                  <c:v>46329</c:v>
                </c:pt>
                <c:pt idx="25">
                  <c:v>46350</c:v>
                </c:pt>
                <c:pt idx="26">
                  <c:v>46352</c:v>
                </c:pt>
                <c:pt idx="27">
                  <c:v>46359</c:v>
                </c:pt>
                <c:pt idx="28">
                  <c:v>46365</c:v>
                </c:pt>
                <c:pt idx="29">
                  <c:v>46378</c:v>
                </c:pt>
                <c:pt idx="30">
                  <c:v>46386</c:v>
                </c:pt>
                <c:pt idx="31">
                  <c:v>46387</c:v>
                </c:pt>
                <c:pt idx="32">
                  <c:v>46400</c:v>
                </c:pt>
                <c:pt idx="33">
                  <c:v>46412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9-4244-AB28-D15C53B86E7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139-4244-AB28-D15C53B86E7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139-4244-AB28-D15C53B86E7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139-4244-AB28-D15C53B86E7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139-4244-AB28-D15C53B86E7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139-4244-AB28-D15C53B86E7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139-4244-AB28-D15C53B86E7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139-4244-AB28-D15C53B86E7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39-4244-AB28-D15C53B86E7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139-4244-AB28-D15C53B86E7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139-4244-AB28-D15C53B86E7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7139-4244-AB28-D15C53B86E7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139-4244-AB28-D15C53B86E72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139-4244-AB28-D15C53B86E72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139-4244-AB28-D15C53B86E72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139-4244-AB28-D15C53B86E72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7139-4244-AB28-D15C53B86E72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7139-4244-AB28-D15C53B86E72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7139-4244-AB28-D15C53B86E72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7139-4244-AB28-D15C53B86E72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7139-4244-AB28-D15C53B86E72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139-4244-AB28-D15C53B86E72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139-4244-AB28-D15C53B86E72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139-4244-AB28-D15C53B86E72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7139-4244-AB28-D15C53B86E72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7139-4244-AB28-D15C53B86E72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7139-4244-AB28-D15C53B86E72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7139-4244-AB28-D15C53B86E72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7139-4244-AB28-D15C53B86E72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7139-4244-AB28-D15C53B86E72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7139-4244-AB28-D15C53B86E72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7139-4244-AB28-D15C53B86E72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7139-4244-AB28-D15C53B86E72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7139-4244-AB28-D15C53B86E72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7139-4244-AB28-D15C53B86E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'Diagrama de Gantt'!$B$4:$B$37</c:f>
              <c:strCache>
                <c:ptCount val="34"/>
                <c:pt idx="0">
                  <c:v>Actividad 1</c:v>
                </c:pt>
                <c:pt idx="1">
                  <c:v>Actividad 1.2</c:v>
                </c:pt>
                <c:pt idx="2">
                  <c:v>Actividad 1.3</c:v>
                </c:pt>
                <c:pt idx="3">
                  <c:v>Actividad 1.4</c:v>
                </c:pt>
                <c:pt idx="4">
                  <c:v>Actividad 1.5</c:v>
                </c:pt>
                <c:pt idx="5">
                  <c:v>Actividad 1.6</c:v>
                </c:pt>
                <c:pt idx="6">
                  <c:v>Actividad 1.7</c:v>
                </c:pt>
                <c:pt idx="7">
                  <c:v>Actividad 1.8</c:v>
                </c:pt>
                <c:pt idx="8">
                  <c:v>Actividad 2</c:v>
                </c:pt>
                <c:pt idx="9">
                  <c:v>Actividad 2.2</c:v>
                </c:pt>
                <c:pt idx="10">
                  <c:v>Actividad 2.3</c:v>
                </c:pt>
                <c:pt idx="11">
                  <c:v>Actividad 2.4</c:v>
                </c:pt>
                <c:pt idx="12">
                  <c:v>Actividad 2.5</c:v>
                </c:pt>
                <c:pt idx="13">
                  <c:v>Actividad 2.6</c:v>
                </c:pt>
                <c:pt idx="14">
                  <c:v>Actividad 2.7</c:v>
                </c:pt>
                <c:pt idx="15">
                  <c:v>Actividad 3</c:v>
                </c:pt>
                <c:pt idx="16">
                  <c:v>Actividad 3.2</c:v>
                </c:pt>
                <c:pt idx="17">
                  <c:v>Actividad 3.3</c:v>
                </c:pt>
                <c:pt idx="18">
                  <c:v>Actividad 3.4</c:v>
                </c:pt>
                <c:pt idx="19">
                  <c:v>Actividad 3.5</c:v>
                </c:pt>
                <c:pt idx="20">
                  <c:v>Actividad 3.6</c:v>
                </c:pt>
                <c:pt idx="21">
                  <c:v>Actividad 3.7</c:v>
                </c:pt>
                <c:pt idx="22">
                  <c:v>Actividad 3.8</c:v>
                </c:pt>
                <c:pt idx="23">
                  <c:v>Actividad 4</c:v>
                </c:pt>
                <c:pt idx="24">
                  <c:v>Actividad 4.2</c:v>
                </c:pt>
                <c:pt idx="25">
                  <c:v>Actividad 4.3</c:v>
                </c:pt>
                <c:pt idx="26">
                  <c:v>Actividad 4.4</c:v>
                </c:pt>
                <c:pt idx="27">
                  <c:v>Actividad 4.5</c:v>
                </c:pt>
                <c:pt idx="28">
                  <c:v>Actividad 4.6</c:v>
                </c:pt>
                <c:pt idx="29">
                  <c:v>Actividad 4.7</c:v>
                </c:pt>
                <c:pt idx="30">
                  <c:v>Actividad 4.8</c:v>
                </c:pt>
                <c:pt idx="31">
                  <c:v>Actividad 4.9</c:v>
                </c:pt>
                <c:pt idx="32">
                  <c:v>Actividad 4.10</c:v>
                </c:pt>
                <c:pt idx="33">
                  <c:v>Actividad 4.11</c:v>
                </c:pt>
              </c:strCache>
            </c:strRef>
          </c:cat>
          <c:val>
            <c:numRef>
              <c:f>'Diagrama de Gantt'!$E$4:$E$37</c:f>
              <c:numCache>
                <c:formatCode>General</c:formatCode>
                <c:ptCount val="34"/>
                <c:pt idx="0">
                  <c:v>5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8</c:v>
                </c:pt>
                <c:pt idx="7">
                  <c:v>3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10</c:v>
                </c:pt>
                <c:pt idx="14">
                  <c:v>3</c:v>
                </c:pt>
                <c:pt idx="15">
                  <c:v>8</c:v>
                </c:pt>
                <c:pt idx="16">
                  <c:v>8</c:v>
                </c:pt>
                <c:pt idx="17">
                  <c:v>6</c:v>
                </c:pt>
                <c:pt idx="18">
                  <c:v>15</c:v>
                </c:pt>
                <c:pt idx="19">
                  <c:v>3</c:v>
                </c:pt>
                <c:pt idx="20">
                  <c:v>12</c:v>
                </c:pt>
                <c:pt idx="21">
                  <c:v>15</c:v>
                </c:pt>
                <c:pt idx="22">
                  <c:v>3</c:v>
                </c:pt>
                <c:pt idx="23">
                  <c:v>20</c:v>
                </c:pt>
                <c:pt idx="24">
                  <c:v>15</c:v>
                </c:pt>
                <c:pt idx="25">
                  <c:v>5</c:v>
                </c:pt>
                <c:pt idx="26">
                  <c:v>5</c:v>
                </c:pt>
                <c:pt idx="27">
                  <c:v>3</c:v>
                </c:pt>
                <c:pt idx="28">
                  <c:v>10</c:v>
                </c:pt>
                <c:pt idx="29">
                  <c:v>6</c:v>
                </c:pt>
                <c:pt idx="30">
                  <c:v>5</c:v>
                </c:pt>
                <c:pt idx="31">
                  <c:v>8</c:v>
                </c:pt>
                <c:pt idx="32">
                  <c:v>8</c:v>
                </c:pt>
                <c:pt idx="3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39-4244-AB28-D15C53B86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491144255"/>
        <c:axId val="1491138015"/>
      </c:barChart>
      <c:catAx>
        <c:axId val="149114425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solidFill>
            <a:sysClr val="window" lastClr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outerShdw blurRad="50800" dist="38100" dir="8100000" algn="tr" rotWithShape="0">
              <a:schemeClr val="accent1">
                <a:lumMod val="60000"/>
                <a:lumOff val="40000"/>
                <a:alpha val="40000"/>
              </a:scheme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1138015"/>
        <c:crosses val="autoZero"/>
        <c:auto val="1"/>
        <c:lblAlgn val="ctr"/>
        <c:lblOffset val="100"/>
        <c:noMultiLvlLbl val="0"/>
      </c:catAx>
      <c:valAx>
        <c:axId val="1491138015"/>
        <c:scaling>
          <c:orientation val="minMax"/>
          <c:max val="46417"/>
          <c:min val="4613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/mm/yy" sourceLinked="0"/>
        <c:majorTickMark val="none"/>
        <c:minorTickMark val="none"/>
        <c:tickLblPos val="nextTo"/>
        <c:spPr>
          <a:noFill/>
          <a:ln>
            <a:noFill/>
          </a:ln>
          <a:effectLst>
            <a:outerShdw blurRad="50800" dist="38100" dir="2700000" algn="tl" rotWithShape="0">
              <a:schemeClr val="accent1">
                <a:lumMod val="60000"/>
                <a:lumOff val="40000"/>
                <a:alpha val="40000"/>
              </a:schemeClr>
            </a:outerShdw>
          </a:effectLst>
        </c:spPr>
        <c:txPr>
          <a:bodyPr rot="-54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1144255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40820</xdr:colOff>
      <xdr:row>2</xdr:row>
      <xdr:rowOff>16328</xdr:rowOff>
    </xdr:from>
    <xdr:to>
      <xdr:col>42</xdr:col>
      <xdr:colOff>503463</xdr:colOff>
      <xdr:row>48</xdr:row>
      <xdr:rowOff>81643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366516C-1A1A-27D6-175C-B211E3589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D25" sqref="D25"/>
    </sheetView>
  </sheetViews>
  <sheetFormatPr baseColWidth="10" defaultColWidth="14.42578125" defaultRowHeight="15" customHeight="1" x14ac:dyDescent="0.25"/>
  <cols>
    <col min="1" max="1" width="25" customWidth="1"/>
    <col min="2" max="2" width="13" customWidth="1"/>
    <col min="3" max="4" width="29.42578125" customWidth="1"/>
    <col min="5" max="5" width="23" customWidth="1"/>
    <col min="6" max="6" width="26.7109375" customWidth="1"/>
    <col min="7" max="7" width="24" customWidth="1"/>
    <col min="8" max="8" width="22" customWidth="1"/>
    <col min="9" max="26" width="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1</v>
      </c>
      <c r="C2" s="3">
        <v>7000000</v>
      </c>
      <c r="D2" s="3">
        <v>0</v>
      </c>
      <c r="E2" s="3">
        <f>SUM(B16:B21)</f>
        <v>2340471</v>
      </c>
      <c r="F2" s="3">
        <f>+SUM(B24:B25)</f>
        <v>560000</v>
      </c>
      <c r="G2" s="3">
        <f>+C2+D2+E2+-F2</f>
        <v>8780471</v>
      </c>
      <c r="H2" s="3">
        <f>+G2*12</f>
        <v>105365652</v>
      </c>
    </row>
    <row r="3" spans="1:8" x14ac:dyDescent="0.25">
      <c r="A3" s="2" t="s">
        <v>9</v>
      </c>
      <c r="B3" s="2">
        <v>1</v>
      </c>
      <c r="C3" s="3">
        <v>2750395</v>
      </c>
      <c r="D3" s="3">
        <v>249605</v>
      </c>
      <c r="E3" s="3">
        <f>+SUM(C16:C21)</f>
        <v>961394.93339999998</v>
      </c>
      <c r="F3" s="3">
        <f>+SUM(C24:C25)</f>
        <v>220031.6</v>
      </c>
      <c r="G3" s="3">
        <f>+C3+D3+E3-F3</f>
        <v>3741363.3333999999</v>
      </c>
      <c r="H3" s="3">
        <f>+G3*12</f>
        <v>44896360.000799999</v>
      </c>
    </row>
    <row r="4" spans="1:8" x14ac:dyDescent="0.25">
      <c r="A4" s="2" t="s">
        <v>9</v>
      </c>
      <c r="B4" s="2">
        <v>1</v>
      </c>
      <c r="C4" s="3">
        <v>2750395</v>
      </c>
      <c r="D4" s="3">
        <v>249605</v>
      </c>
      <c r="E4" s="3">
        <f>+SUM(D16:D21)</f>
        <v>961394.93339999998</v>
      </c>
      <c r="F4" s="3">
        <f>+SUM(D24:D25)</f>
        <v>220031.6</v>
      </c>
      <c r="G4" s="3">
        <f>+C4+D4+E4-F4</f>
        <v>3741363.3333999999</v>
      </c>
      <c r="H4" s="3">
        <f>+G4*12</f>
        <v>44896360.000799999</v>
      </c>
    </row>
    <row r="5" spans="1:8" x14ac:dyDescent="0.25">
      <c r="A5" s="2" t="s">
        <v>10</v>
      </c>
      <c r="B5" s="2">
        <v>1</v>
      </c>
      <c r="C5" s="3">
        <v>1750905</v>
      </c>
      <c r="D5" s="3">
        <v>249605</v>
      </c>
      <c r="E5" s="3">
        <f>+SUM(E16:E21)</f>
        <v>627212.45342999999</v>
      </c>
      <c r="F5" s="3">
        <f>+SUM(E24:E25)</f>
        <v>140072.4</v>
      </c>
      <c r="G5" s="3">
        <f>+C5+D5+E5-F5</f>
        <v>2487650.0534299999</v>
      </c>
      <c r="H5" s="3">
        <f>+G5*12</f>
        <v>29851800.641159996</v>
      </c>
    </row>
    <row r="6" spans="1:8" x14ac:dyDescent="0.25">
      <c r="A6" s="2"/>
      <c r="B6" s="2"/>
      <c r="C6" s="3"/>
      <c r="D6" s="2"/>
      <c r="E6" s="2"/>
      <c r="F6" s="2"/>
      <c r="G6" s="3">
        <f>SUM(G2:G5)</f>
        <v>18750847.720229998</v>
      </c>
      <c r="H6" s="4">
        <f>+SUM(H2:H5)</f>
        <v>225010172.64276004</v>
      </c>
    </row>
    <row r="12" spans="1:8" x14ac:dyDescent="0.25">
      <c r="B12" s="5" t="s">
        <v>11</v>
      </c>
      <c r="C12" s="5" t="s">
        <v>9</v>
      </c>
      <c r="D12" s="5" t="s">
        <v>9</v>
      </c>
      <c r="E12" s="5" t="s">
        <v>10</v>
      </c>
    </row>
    <row r="13" spans="1:8" x14ac:dyDescent="0.25">
      <c r="A13" s="6" t="s">
        <v>12</v>
      </c>
      <c r="B13" s="3">
        <f>+C2</f>
        <v>7000000</v>
      </c>
      <c r="C13" s="3">
        <f>+C3</f>
        <v>2750395</v>
      </c>
      <c r="D13" s="3">
        <f>+C4</f>
        <v>2750395</v>
      </c>
      <c r="E13" s="3">
        <f>+C5</f>
        <v>1750905</v>
      </c>
    </row>
    <row r="14" spans="1:8" x14ac:dyDescent="0.25">
      <c r="A14" s="6" t="s">
        <v>13</v>
      </c>
      <c r="B14" s="3">
        <v>0</v>
      </c>
      <c r="C14" s="3">
        <v>249605</v>
      </c>
      <c r="D14" s="3">
        <v>249605</v>
      </c>
      <c r="E14" s="3">
        <v>249605</v>
      </c>
    </row>
    <row r="15" spans="1:8" x14ac:dyDescent="0.25">
      <c r="A15" s="7" t="s">
        <v>12</v>
      </c>
      <c r="B15" s="8">
        <f>+SUM(B13:B14)</f>
        <v>7000000</v>
      </c>
      <c r="C15" s="8">
        <f>+SUM(C13:C14)</f>
        <v>3000000</v>
      </c>
      <c r="D15" s="8">
        <f>+SUM(D13:D14)</f>
        <v>3000000</v>
      </c>
      <c r="E15" s="8">
        <f>+SUM(E13:E14)</f>
        <v>2000510</v>
      </c>
    </row>
    <row r="16" spans="1:8" x14ac:dyDescent="0.25">
      <c r="A16" s="6" t="s">
        <v>14</v>
      </c>
      <c r="B16" s="3">
        <f>+B13*12%</f>
        <v>840000</v>
      </c>
      <c r="C16" s="3">
        <f>+C13*12%</f>
        <v>330047.39999999997</v>
      </c>
      <c r="D16" s="3">
        <f>+D13*12%</f>
        <v>330047.39999999997</v>
      </c>
      <c r="E16" s="3">
        <f>+E13*12%</f>
        <v>210108.6</v>
      </c>
    </row>
    <row r="17" spans="1:5" x14ac:dyDescent="0.25">
      <c r="A17" s="9" t="s">
        <v>15</v>
      </c>
      <c r="B17" s="3">
        <f>+B13 * 0.522%</f>
        <v>36540</v>
      </c>
      <c r="C17" s="3">
        <f>+C13 * 0.522%</f>
        <v>14357.061899999999</v>
      </c>
      <c r="D17" s="3">
        <f>+D13 * 0.522%</f>
        <v>14357.061899999999</v>
      </c>
      <c r="E17" s="3">
        <f>+E13 * 0.522%</f>
        <v>9139.7240999999995</v>
      </c>
    </row>
    <row r="18" spans="1:5" x14ac:dyDescent="0.25">
      <c r="A18" s="9" t="s">
        <v>16</v>
      </c>
      <c r="B18" s="3">
        <f>+B15*8.33%</f>
        <v>583100</v>
      </c>
      <c r="C18" s="3">
        <f>+C15*8.33%</f>
        <v>249900</v>
      </c>
      <c r="D18" s="3">
        <f>+D15*8.33%</f>
        <v>249900</v>
      </c>
      <c r="E18" s="3">
        <f>+E15*8.33%</f>
        <v>166642.48300000001</v>
      </c>
    </row>
    <row r="19" spans="1:5" x14ac:dyDescent="0.25">
      <c r="A19" s="9" t="s">
        <v>17</v>
      </c>
      <c r="B19" s="3">
        <f>+B15*8.33%</f>
        <v>583100</v>
      </c>
      <c r="C19" s="3">
        <f>+C15*8.33%</f>
        <v>249900</v>
      </c>
      <c r="D19" s="3">
        <f>+D15*8.33%</f>
        <v>249900</v>
      </c>
      <c r="E19" s="3">
        <f>+E15*8.33%</f>
        <v>166642.48300000001</v>
      </c>
    </row>
    <row r="20" spans="1:5" x14ac:dyDescent="0.25">
      <c r="A20" s="9" t="s">
        <v>18</v>
      </c>
      <c r="B20" s="3">
        <f>+B19*1%</f>
        <v>5831</v>
      </c>
      <c r="C20" s="3">
        <f>+C19*1%</f>
        <v>2499</v>
      </c>
      <c r="D20" s="3">
        <f>+D19*1%</f>
        <v>2499</v>
      </c>
      <c r="E20" s="3">
        <f>+E19*1%</f>
        <v>1666.4248300000002</v>
      </c>
    </row>
    <row r="21" spans="1:5" ht="15.75" customHeight="1" x14ac:dyDescent="0.25">
      <c r="A21" s="6" t="s">
        <v>19</v>
      </c>
      <c r="B21" s="3">
        <f>+B13*4.17%</f>
        <v>291900</v>
      </c>
      <c r="C21" s="3">
        <f>+C13*4.17%</f>
        <v>114691.4715</v>
      </c>
      <c r="D21" s="3">
        <f>+D13*4.17%</f>
        <v>114691.4715</v>
      </c>
      <c r="E21" s="3">
        <f>+E13*4.17%</f>
        <v>73012.738500000007</v>
      </c>
    </row>
    <row r="22" spans="1:5" ht="15.75" customHeight="1" x14ac:dyDescent="0.25">
      <c r="A22" s="6" t="s">
        <v>20</v>
      </c>
      <c r="B22" s="3">
        <f>+SUM(B15:B21)</f>
        <v>9340471</v>
      </c>
      <c r="C22" s="3">
        <f>+SUM(C15:C21)</f>
        <v>3961394.9334</v>
      </c>
      <c r="D22" s="3">
        <f>+SUM(D15:D21)</f>
        <v>3961394.9334</v>
      </c>
      <c r="E22" s="3">
        <f>+SUM(E15:E21)</f>
        <v>2627722.4534300002</v>
      </c>
    </row>
    <row r="23" spans="1:5" ht="15.75" customHeight="1" x14ac:dyDescent="0.25">
      <c r="A23" s="6"/>
      <c r="B23" s="2"/>
      <c r="C23" s="2"/>
      <c r="D23" s="2"/>
      <c r="E23" s="2"/>
    </row>
    <row r="24" spans="1:5" ht="15.75" customHeight="1" x14ac:dyDescent="0.25">
      <c r="A24" s="6" t="s">
        <v>21</v>
      </c>
      <c r="B24" s="3">
        <f>+B13*4%</f>
        <v>280000</v>
      </c>
      <c r="C24" s="3">
        <f>+C13*4%</f>
        <v>110015.8</v>
      </c>
      <c r="D24" s="3">
        <f>+D13*4%</f>
        <v>110015.8</v>
      </c>
      <c r="E24" s="3">
        <f>+E13*4%</f>
        <v>70036.2</v>
      </c>
    </row>
    <row r="25" spans="1:5" ht="15.75" customHeight="1" x14ac:dyDescent="0.25">
      <c r="A25" s="6" t="s">
        <v>22</v>
      </c>
      <c r="B25" s="3">
        <f>+B13*4%</f>
        <v>280000</v>
      </c>
      <c r="C25" s="3">
        <f>+C13*4%</f>
        <v>110015.8</v>
      </c>
      <c r="D25" s="3">
        <f>+D13*4%</f>
        <v>110015.8</v>
      </c>
      <c r="E25" s="3">
        <f>+E13*4%</f>
        <v>70036.2</v>
      </c>
    </row>
    <row r="26" spans="1:5" ht="15.75" customHeight="1" x14ac:dyDescent="0.25">
      <c r="A26" s="6"/>
      <c r="B26" s="2"/>
      <c r="C26" s="2"/>
      <c r="D26" s="2"/>
      <c r="E26" s="2"/>
    </row>
    <row r="27" spans="1:5" ht="15.75" customHeight="1" x14ac:dyDescent="0.25">
      <c r="A27" s="6" t="s">
        <v>23</v>
      </c>
      <c r="B27" s="3">
        <f>+B22-B24-B25</f>
        <v>8780471</v>
      </c>
      <c r="C27" s="3">
        <f>+C22-C24-C25</f>
        <v>3741363.3334000004</v>
      </c>
      <c r="D27" s="3">
        <f>+D22-D24-D25</f>
        <v>3741363.3334000004</v>
      </c>
      <c r="E27" s="3">
        <f>+E22-E24-E25</f>
        <v>2487650.0534299999</v>
      </c>
    </row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baseColWidth="10" defaultColWidth="14.42578125" defaultRowHeight="15" customHeight="1" x14ac:dyDescent="0.25"/>
  <cols>
    <col min="1" max="1" width="24" customWidth="1"/>
    <col min="2" max="2" width="18" customWidth="1"/>
    <col min="3" max="3" width="16" customWidth="1"/>
    <col min="4" max="26" width="9.140625" customWidth="1"/>
  </cols>
  <sheetData>
    <row r="1" spans="1:3" x14ac:dyDescent="0.25">
      <c r="A1" s="1" t="s">
        <v>24</v>
      </c>
      <c r="B1" s="1" t="s">
        <v>25</v>
      </c>
      <c r="C1" s="1" t="s">
        <v>26</v>
      </c>
    </row>
    <row r="2" spans="1:3" x14ac:dyDescent="0.25">
      <c r="A2" s="2" t="s">
        <v>27</v>
      </c>
      <c r="B2" s="3">
        <v>180000</v>
      </c>
      <c r="C2" s="3">
        <v>2160000</v>
      </c>
    </row>
    <row r="3" spans="1:3" x14ac:dyDescent="0.25">
      <c r="A3" s="2" t="s">
        <v>28</v>
      </c>
      <c r="B3" s="3">
        <v>0</v>
      </c>
      <c r="C3" s="3">
        <v>70000</v>
      </c>
    </row>
    <row r="4" spans="1:3" x14ac:dyDescent="0.25">
      <c r="A4" s="2" t="s">
        <v>29</v>
      </c>
      <c r="B4" s="3">
        <v>0</v>
      </c>
      <c r="C4" s="3">
        <v>120000</v>
      </c>
    </row>
    <row r="5" spans="1:3" x14ac:dyDescent="0.25">
      <c r="A5" s="2" t="s">
        <v>30</v>
      </c>
      <c r="B5" s="3">
        <v>80000</v>
      </c>
      <c r="C5" s="3">
        <v>960000</v>
      </c>
    </row>
    <row r="6" spans="1:3" ht="15" customHeight="1" x14ac:dyDescent="0.25">
      <c r="A6" s="2"/>
      <c r="B6" s="2"/>
      <c r="C6" s="3">
        <f>+SUM(C2:C5)</f>
        <v>3310000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baseColWidth="10" defaultColWidth="14.42578125" defaultRowHeight="15" customHeight="1" x14ac:dyDescent="0.25"/>
  <cols>
    <col min="1" max="1" width="28" customWidth="1"/>
    <col min="2" max="2" width="13" customWidth="1"/>
    <col min="3" max="3" width="19" customWidth="1"/>
    <col min="4" max="4" width="18.28515625" customWidth="1"/>
    <col min="5" max="26" width="9.140625" customWidth="1"/>
  </cols>
  <sheetData>
    <row r="1" spans="1:4" x14ac:dyDescent="0.25">
      <c r="A1" s="1" t="s">
        <v>31</v>
      </c>
      <c r="B1" s="1" t="s">
        <v>1</v>
      </c>
      <c r="C1" s="1" t="s">
        <v>32</v>
      </c>
      <c r="D1" s="1" t="s">
        <v>20</v>
      </c>
    </row>
    <row r="2" spans="1:4" x14ac:dyDescent="0.25">
      <c r="A2" s="2" t="s">
        <v>33</v>
      </c>
      <c r="B2" s="2">
        <v>3</v>
      </c>
      <c r="C2" s="3">
        <v>3500000</v>
      </c>
      <c r="D2" s="3">
        <v>10500000</v>
      </c>
    </row>
    <row r="3" spans="1:4" x14ac:dyDescent="0.25">
      <c r="A3" s="2" t="s">
        <v>34</v>
      </c>
      <c r="B3" s="2">
        <v>3</v>
      </c>
      <c r="C3" s="3">
        <v>120000</v>
      </c>
      <c r="D3" s="3">
        <v>360000</v>
      </c>
    </row>
    <row r="4" spans="1:4" x14ac:dyDescent="0.25">
      <c r="A4" s="2" t="s">
        <v>35</v>
      </c>
      <c r="B4" s="2">
        <v>3</v>
      </c>
      <c r="C4" s="3">
        <v>180000</v>
      </c>
      <c r="D4" s="3">
        <v>540000</v>
      </c>
    </row>
    <row r="5" spans="1:4" ht="15" customHeight="1" x14ac:dyDescent="0.25">
      <c r="A5" s="2"/>
      <c r="B5" s="2"/>
      <c r="C5" s="2"/>
      <c r="D5" s="3">
        <f>+SUM(D2:D4)</f>
        <v>11400000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baseColWidth="10" defaultColWidth="14.42578125" defaultRowHeight="15" customHeight="1" x14ac:dyDescent="0.25"/>
  <cols>
    <col min="1" max="1" width="34" customWidth="1"/>
    <col min="2" max="2" width="17" customWidth="1"/>
    <col min="3" max="4" width="12" customWidth="1"/>
    <col min="5" max="5" width="31" customWidth="1"/>
    <col min="6" max="26" width="9.140625" customWidth="1"/>
  </cols>
  <sheetData>
    <row r="1" spans="1:5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 x14ac:dyDescent="0.25">
      <c r="A2" s="2" t="s">
        <v>41</v>
      </c>
      <c r="B2" s="2" t="s">
        <v>42</v>
      </c>
      <c r="C2" s="2" t="s">
        <v>42</v>
      </c>
      <c r="D2" s="2" t="s">
        <v>43</v>
      </c>
      <c r="E2" s="2" t="s">
        <v>44</v>
      </c>
    </row>
    <row r="3" spans="1:5" x14ac:dyDescent="0.25">
      <c r="A3" s="2" t="s">
        <v>45</v>
      </c>
      <c r="B3" s="2" t="s">
        <v>46</v>
      </c>
      <c r="C3" s="2" t="s">
        <v>42</v>
      </c>
      <c r="D3" s="2" t="s">
        <v>47</v>
      </c>
      <c r="E3" s="2" t="s">
        <v>48</v>
      </c>
    </row>
    <row r="4" spans="1:5" x14ac:dyDescent="0.25">
      <c r="A4" s="2" t="s">
        <v>49</v>
      </c>
      <c r="B4" s="2" t="s">
        <v>46</v>
      </c>
      <c r="C4" s="2" t="s">
        <v>42</v>
      </c>
      <c r="D4" s="2" t="s">
        <v>47</v>
      </c>
      <c r="E4" s="2" t="s">
        <v>50</v>
      </c>
    </row>
    <row r="5" spans="1:5" x14ac:dyDescent="0.25">
      <c r="A5" s="2" t="s">
        <v>51</v>
      </c>
      <c r="B5" s="2" t="s">
        <v>52</v>
      </c>
      <c r="C5" s="2" t="s">
        <v>42</v>
      </c>
      <c r="D5" s="2" t="s">
        <v>53</v>
      </c>
      <c r="E5" s="2" t="s">
        <v>54</v>
      </c>
    </row>
    <row r="6" spans="1:5" x14ac:dyDescent="0.25">
      <c r="A6" s="2" t="s">
        <v>55</v>
      </c>
      <c r="B6" s="2" t="s">
        <v>42</v>
      </c>
      <c r="C6" s="2" t="s">
        <v>46</v>
      </c>
      <c r="D6" s="2" t="s">
        <v>47</v>
      </c>
      <c r="E6" s="2" t="s">
        <v>56</v>
      </c>
    </row>
    <row r="7" spans="1:5" x14ac:dyDescent="0.25">
      <c r="A7" s="2" t="s">
        <v>57</v>
      </c>
      <c r="B7" s="2" t="s">
        <v>46</v>
      </c>
      <c r="C7" s="2" t="s">
        <v>42</v>
      </c>
      <c r="D7" s="2" t="s">
        <v>47</v>
      </c>
      <c r="E7" s="2" t="s">
        <v>58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>
      <selection activeCell="B14" sqref="B14"/>
    </sheetView>
  </sheetViews>
  <sheetFormatPr baseColWidth="10" defaultColWidth="14.42578125" defaultRowHeight="15" customHeight="1" x14ac:dyDescent="0.25"/>
  <cols>
    <col min="1" max="1" width="37.28515625" customWidth="1"/>
    <col min="2" max="2" width="21.28515625" customWidth="1"/>
    <col min="3" max="3" width="24.140625" customWidth="1"/>
    <col min="4" max="4" width="14.5703125" customWidth="1"/>
    <col min="5" max="6" width="10.7109375" customWidth="1"/>
    <col min="7" max="7" width="25.85546875" customWidth="1"/>
    <col min="8" max="8" width="27.85546875" customWidth="1"/>
    <col min="9" max="9" width="29.42578125" customWidth="1"/>
    <col min="10" max="10" width="24.28515625" customWidth="1"/>
    <col min="11" max="26" width="10.7109375" customWidth="1"/>
  </cols>
  <sheetData>
    <row r="1" spans="1:10" ht="21" x14ac:dyDescent="0.35">
      <c r="A1" s="69" t="s">
        <v>59</v>
      </c>
      <c r="B1" s="70"/>
      <c r="C1" s="70"/>
      <c r="D1" s="70"/>
      <c r="E1" s="10"/>
      <c r="G1" s="69" t="s">
        <v>60</v>
      </c>
      <c r="H1" s="70"/>
      <c r="I1" s="70"/>
      <c r="J1" s="70"/>
    </row>
    <row r="2" spans="1:10" x14ac:dyDescent="0.25">
      <c r="A2" s="11" t="s">
        <v>61</v>
      </c>
      <c r="B2" s="12"/>
      <c r="C2" s="74" t="s">
        <v>62</v>
      </c>
      <c r="D2" s="73"/>
      <c r="E2" s="13"/>
      <c r="G2" s="11" t="s">
        <v>61</v>
      </c>
      <c r="H2" s="12"/>
      <c r="I2" s="75" t="s">
        <v>62</v>
      </c>
      <c r="J2" s="73"/>
    </row>
    <row r="3" spans="1:10" x14ac:dyDescent="0.25">
      <c r="A3" s="2" t="s">
        <v>63</v>
      </c>
      <c r="B3" s="14">
        <v>3000000</v>
      </c>
      <c r="C3" s="2" t="s">
        <v>64</v>
      </c>
      <c r="D3" s="14">
        <v>5000000</v>
      </c>
      <c r="G3" s="2" t="s">
        <v>63</v>
      </c>
      <c r="H3" s="14">
        <v>3000000</v>
      </c>
      <c r="I3" s="2" t="s">
        <v>64</v>
      </c>
      <c r="J3" s="14">
        <v>5000000</v>
      </c>
    </row>
    <row r="4" spans="1:10" x14ac:dyDescent="0.25">
      <c r="A4" s="2" t="s">
        <v>65</v>
      </c>
      <c r="B4" s="14">
        <v>3000000</v>
      </c>
      <c r="C4" s="2" t="s">
        <v>66</v>
      </c>
      <c r="D4" s="14">
        <v>1600000</v>
      </c>
      <c r="G4" s="2" t="s">
        <v>65</v>
      </c>
      <c r="H4" s="14">
        <v>3000000</v>
      </c>
      <c r="I4" s="2" t="s">
        <v>67</v>
      </c>
      <c r="J4" s="14">
        <v>2000000</v>
      </c>
    </row>
    <row r="5" spans="1:10" x14ac:dyDescent="0.25">
      <c r="A5" s="2" t="s">
        <v>68</v>
      </c>
      <c r="B5" s="14">
        <v>2000000</v>
      </c>
      <c r="C5" s="2" t="s">
        <v>69</v>
      </c>
      <c r="D5" s="14">
        <v>200000</v>
      </c>
      <c r="G5" s="2" t="s">
        <v>68</v>
      </c>
      <c r="H5" s="14">
        <v>2000000</v>
      </c>
      <c r="I5" s="2" t="s">
        <v>69</v>
      </c>
      <c r="J5" s="14">
        <v>0</v>
      </c>
    </row>
    <row r="6" spans="1:10" x14ac:dyDescent="0.25">
      <c r="A6" s="2" t="s">
        <v>70</v>
      </c>
      <c r="B6" s="14">
        <v>2500000</v>
      </c>
      <c r="C6" s="2" t="s">
        <v>71</v>
      </c>
      <c r="D6" s="14">
        <v>90000</v>
      </c>
      <c r="G6" s="2" t="s">
        <v>70</v>
      </c>
      <c r="H6" s="14">
        <v>2500000</v>
      </c>
      <c r="I6" s="2" t="s">
        <v>71</v>
      </c>
      <c r="J6" s="14">
        <v>112500</v>
      </c>
    </row>
    <row r="7" spans="1:10" x14ac:dyDescent="0.25">
      <c r="A7" s="2" t="s">
        <v>72</v>
      </c>
      <c r="B7" s="14">
        <v>0</v>
      </c>
      <c r="C7" s="2" t="s">
        <v>72</v>
      </c>
      <c r="D7" s="14">
        <v>0</v>
      </c>
      <c r="G7" s="2" t="s">
        <v>73</v>
      </c>
      <c r="H7" s="14">
        <v>2500000</v>
      </c>
      <c r="I7" s="2"/>
      <c r="J7" s="14"/>
    </row>
    <row r="8" spans="1:10" x14ac:dyDescent="0.25">
      <c r="A8" s="15" t="s">
        <v>74</v>
      </c>
      <c r="B8" s="14">
        <f>+SUM(B3:B6)</f>
        <v>10500000</v>
      </c>
      <c r="C8" s="2"/>
      <c r="D8" s="14">
        <f>+SUM(D3:D6)</f>
        <v>6890000</v>
      </c>
      <c r="G8" s="15" t="s">
        <v>74</v>
      </c>
      <c r="H8" s="14">
        <f>+SUM(H3:H7)</f>
        <v>13000000</v>
      </c>
      <c r="I8" s="2"/>
      <c r="J8" s="14">
        <f>+SUM(J3:J6)</f>
        <v>7112500</v>
      </c>
    </row>
    <row r="9" spans="1:10" x14ac:dyDescent="0.25">
      <c r="A9" s="15" t="s">
        <v>75</v>
      </c>
      <c r="B9" s="14">
        <f>+B8+D8</f>
        <v>17390000</v>
      </c>
      <c r="C9" s="2"/>
      <c r="D9" s="2"/>
      <c r="G9" s="15" t="s">
        <v>75</v>
      </c>
      <c r="H9" s="14">
        <f>+H8+J8</f>
        <v>20112500</v>
      </c>
      <c r="I9" s="2"/>
      <c r="J9" s="2"/>
    </row>
    <row r="11" spans="1:10" x14ac:dyDescent="0.25">
      <c r="A11" s="71" t="s">
        <v>76</v>
      </c>
      <c r="B11" s="72"/>
      <c r="C11" s="73"/>
      <c r="G11" s="71" t="s">
        <v>77</v>
      </c>
      <c r="H11" s="72"/>
      <c r="I11" s="73"/>
    </row>
    <row r="12" spans="1:10" x14ac:dyDescent="0.25">
      <c r="A12" s="15" t="s">
        <v>78</v>
      </c>
      <c r="B12" s="16" t="s">
        <v>79</v>
      </c>
      <c r="C12" s="16" t="s">
        <v>80</v>
      </c>
      <c r="G12" s="15" t="s">
        <v>78</v>
      </c>
      <c r="H12" s="15" t="s">
        <v>79</v>
      </c>
      <c r="I12" s="15" t="s">
        <v>80</v>
      </c>
    </row>
    <row r="13" spans="1:10" x14ac:dyDescent="0.25">
      <c r="A13" s="2" t="s">
        <v>63</v>
      </c>
      <c r="B13" s="2">
        <v>20</v>
      </c>
      <c r="C13" s="14">
        <f>+B13*B20</f>
        <v>1600000</v>
      </c>
      <c r="G13" s="2" t="s">
        <v>63</v>
      </c>
      <c r="H13" s="2">
        <v>30</v>
      </c>
      <c r="I13" s="14">
        <f>+H13*H20</f>
        <v>2700000</v>
      </c>
    </row>
    <row r="14" spans="1:10" x14ac:dyDescent="0.25">
      <c r="A14" s="2" t="s">
        <v>81</v>
      </c>
      <c r="B14" s="2">
        <v>20</v>
      </c>
      <c r="C14" s="14">
        <f>+B14*B20</f>
        <v>1600000</v>
      </c>
      <c r="G14" s="2" t="s">
        <v>65</v>
      </c>
      <c r="H14" s="2">
        <v>30</v>
      </c>
      <c r="I14" s="14">
        <f>+H14*H20</f>
        <v>2700000</v>
      </c>
    </row>
    <row r="15" spans="1:10" x14ac:dyDescent="0.25">
      <c r="A15" s="2" t="s">
        <v>70</v>
      </c>
      <c r="B15" s="2">
        <v>50</v>
      </c>
      <c r="C15" s="14">
        <f>+B15*B21</f>
        <v>2500000</v>
      </c>
      <c r="G15" s="2" t="s">
        <v>82</v>
      </c>
      <c r="H15" s="2">
        <v>100</v>
      </c>
      <c r="I15" s="14">
        <f>+H15*H21</f>
        <v>6500000</v>
      </c>
    </row>
    <row r="16" spans="1:10" x14ac:dyDescent="0.25">
      <c r="A16" s="15" t="s">
        <v>83</v>
      </c>
      <c r="B16" s="2">
        <f>+SUM(B13:B15)</f>
        <v>90</v>
      </c>
      <c r="C16" s="14">
        <f>+SUM(C13:C15)</f>
        <v>5700000</v>
      </c>
      <c r="G16" s="15" t="s">
        <v>75</v>
      </c>
      <c r="H16" s="2">
        <f>+SUM(H13:H15)</f>
        <v>160</v>
      </c>
      <c r="I16" s="14">
        <f>+SUM(I13:I15)</f>
        <v>11900000</v>
      </c>
    </row>
    <row r="17" spans="1:9" x14ac:dyDescent="0.25">
      <c r="A17" s="15" t="s">
        <v>84</v>
      </c>
      <c r="B17" s="14">
        <f>+C16*4</f>
        <v>22800000</v>
      </c>
      <c r="C17" s="2"/>
      <c r="G17" s="15" t="s">
        <v>84</v>
      </c>
      <c r="H17" s="14">
        <f>+I16*4</f>
        <v>47600000</v>
      </c>
      <c r="I17" s="2"/>
    </row>
    <row r="18" spans="1:9" x14ac:dyDescent="0.25">
      <c r="A18" s="17"/>
      <c r="B18" s="18"/>
      <c r="C18" s="13"/>
      <c r="G18" s="17"/>
      <c r="H18" s="18"/>
      <c r="I18" s="13"/>
    </row>
    <row r="19" spans="1:9" x14ac:dyDescent="0.25">
      <c r="A19" s="13"/>
      <c r="B19" s="13"/>
      <c r="C19" s="13"/>
    </row>
    <row r="20" spans="1:9" x14ac:dyDescent="0.25">
      <c r="A20" s="19" t="s">
        <v>85</v>
      </c>
      <c r="B20" s="20">
        <v>80000</v>
      </c>
      <c r="C20" s="21"/>
      <c r="G20" s="19" t="s">
        <v>85</v>
      </c>
      <c r="H20" s="20">
        <v>90000</v>
      </c>
      <c r="I20" s="21"/>
    </row>
    <row r="21" spans="1:9" ht="15.75" customHeight="1" x14ac:dyDescent="0.25">
      <c r="A21" s="19" t="s">
        <v>86</v>
      </c>
      <c r="B21" s="20">
        <v>50000</v>
      </c>
      <c r="C21" s="21"/>
      <c r="G21" s="19" t="s">
        <v>86</v>
      </c>
      <c r="H21" s="20">
        <v>65000</v>
      </c>
      <c r="I21" s="21"/>
    </row>
    <row r="22" spans="1:9" ht="15.75" customHeight="1" x14ac:dyDescent="0.25"/>
    <row r="23" spans="1:9" ht="15.75" customHeight="1" x14ac:dyDescent="0.25">
      <c r="A23" s="22" t="s">
        <v>87</v>
      </c>
      <c r="B23" s="14">
        <f>+B17*12</f>
        <v>273600000</v>
      </c>
      <c r="G23" s="22" t="s">
        <v>87</v>
      </c>
      <c r="H23" s="14">
        <f>+H17*12</f>
        <v>571200000</v>
      </c>
    </row>
    <row r="24" spans="1:9" ht="15.75" customHeight="1" x14ac:dyDescent="0.25">
      <c r="A24" s="23" t="s">
        <v>88</v>
      </c>
      <c r="B24" s="14">
        <f>+B9*12</f>
        <v>208680000</v>
      </c>
      <c r="G24" s="23" t="s">
        <v>88</v>
      </c>
      <c r="H24" s="14">
        <f>+H9*12</f>
        <v>241350000</v>
      </c>
    </row>
    <row r="25" spans="1:9" ht="15.75" customHeight="1" x14ac:dyDescent="0.25">
      <c r="A25" s="24" t="s">
        <v>89</v>
      </c>
      <c r="B25" s="14">
        <f>+B23-B24</f>
        <v>64920000</v>
      </c>
      <c r="G25" s="24" t="s">
        <v>89</v>
      </c>
      <c r="H25" s="14">
        <f>+H23-H24</f>
        <v>329850000</v>
      </c>
    </row>
    <row r="26" spans="1:9" ht="15.75" customHeight="1" x14ac:dyDescent="0.25"/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D1"/>
    <mergeCell ref="A11:C11"/>
    <mergeCell ref="C2:D2"/>
    <mergeCell ref="I2:J2"/>
    <mergeCell ref="G1:J1"/>
    <mergeCell ref="G11:I1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>
      <selection activeCell="B11" sqref="B11"/>
    </sheetView>
  </sheetViews>
  <sheetFormatPr baseColWidth="10" defaultColWidth="14.42578125" defaultRowHeight="15" customHeight="1" x14ac:dyDescent="0.25"/>
  <cols>
    <col min="1" max="1" width="19" customWidth="1"/>
    <col min="2" max="2" width="21.28515625" customWidth="1"/>
    <col min="3" max="26" width="10.7109375" customWidth="1"/>
  </cols>
  <sheetData>
    <row r="1" spans="1:2" x14ac:dyDescent="0.25">
      <c r="A1" s="25" t="s">
        <v>90</v>
      </c>
      <c r="B1" s="25" t="s">
        <v>91</v>
      </c>
    </row>
    <row r="2" spans="1:2" ht="17.25" customHeight="1" x14ac:dyDescent="0.25">
      <c r="A2" s="26" t="s">
        <v>92</v>
      </c>
      <c r="B2" s="27">
        <f>+'Costos Personal'!H6</f>
        <v>225010172.64276004</v>
      </c>
    </row>
    <row r="3" spans="1:2" ht="18" customHeight="1" x14ac:dyDescent="0.25">
      <c r="A3" s="26" t="s">
        <v>93</v>
      </c>
      <c r="B3" s="27">
        <f>+Infraestructura!C6</f>
        <v>3310000</v>
      </c>
    </row>
    <row r="4" spans="1:2" x14ac:dyDescent="0.25">
      <c r="A4" s="26" t="s">
        <v>94</v>
      </c>
      <c r="B4" s="27">
        <f>+Equipos!D5</f>
        <v>11400000</v>
      </c>
    </row>
    <row r="5" spans="1:2" ht="18" customHeight="1" x14ac:dyDescent="0.25">
      <c r="A5" s="26" t="s">
        <v>95</v>
      </c>
      <c r="B5" s="27">
        <f>+SUM(B2:B4)</f>
        <v>239720172.64276004</v>
      </c>
    </row>
    <row r="6" spans="1:2" x14ac:dyDescent="0.25">
      <c r="A6" s="26" t="s">
        <v>96</v>
      </c>
      <c r="B6" s="14">
        <f>+B5*10%</f>
        <v>23972017.264276005</v>
      </c>
    </row>
    <row r="7" spans="1:2" x14ac:dyDescent="0.25">
      <c r="A7" s="26" t="s">
        <v>75</v>
      </c>
      <c r="B7" s="14">
        <f>+B5+B6</f>
        <v>263692189.90703604</v>
      </c>
    </row>
    <row r="8" spans="1:2" x14ac:dyDescent="0.25">
      <c r="A8" s="26" t="s">
        <v>97</v>
      </c>
      <c r="B8" s="14">
        <f>B7*50%</f>
        <v>131846094.95351802</v>
      </c>
    </row>
    <row r="9" spans="1:2" ht="30" x14ac:dyDescent="0.25">
      <c r="A9" s="26" t="s">
        <v>98</v>
      </c>
      <c r="B9" s="14">
        <f>+B7+B8</f>
        <v>395538284.86055404</v>
      </c>
    </row>
    <row r="10" spans="1:2" x14ac:dyDescent="0.25">
      <c r="B10" s="18"/>
    </row>
    <row r="11" spans="1:2" x14ac:dyDescent="0.25">
      <c r="A11" s="39" t="s">
        <v>149</v>
      </c>
      <c r="B11" s="18">
        <f>+B9/4</f>
        <v>98884571.21513851</v>
      </c>
    </row>
    <row r="12" spans="1:2" x14ac:dyDescent="0.25">
      <c r="B12" s="1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8"/>
  <sheetViews>
    <sheetView workbookViewId="0">
      <selection activeCell="B7" sqref="B7"/>
    </sheetView>
  </sheetViews>
  <sheetFormatPr baseColWidth="10" defaultColWidth="14.42578125" defaultRowHeight="15" customHeight="1" x14ac:dyDescent="0.25"/>
  <cols>
    <col min="1" max="1" width="33" customWidth="1"/>
    <col min="2" max="2" width="24" customWidth="1"/>
  </cols>
  <sheetData>
    <row r="1" spans="1:3" x14ac:dyDescent="0.25">
      <c r="A1" s="32" t="s">
        <v>99</v>
      </c>
    </row>
    <row r="2" spans="1:3" x14ac:dyDescent="0.25"/>
    <row r="3" spans="1:3" x14ac:dyDescent="0.25">
      <c r="A3" s="33" t="s">
        <v>24</v>
      </c>
      <c r="B3" s="33" t="s">
        <v>91</v>
      </c>
    </row>
    <row r="4" spans="1:3" x14ac:dyDescent="0.25">
      <c r="A4" s="29" t="s">
        <v>100</v>
      </c>
      <c r="B4" s="30">
        <v>571200000</v>
      </c>
    </row>
    <row r="5" spans="1:3" x14ac:dyDescent="0.25">
      <c r="A5" s="29" t="s">
        <v>101</v>
      </c>
      <c r="B5" s="30">
        <v>241350000</v>
      </c>
    </row>
    <row r="6" spans="1:3" x14ac:dyDescent="0.25">
      <c r="A6" s="29" t="s">
        <v>102</v>
      </c>
      <c r="B6" s="30">
        <v>329850000</v>
      </c>
      <c r="C6" s="28"/>
    </row>
    <row r="7" spans="1:3" x14ac:dyDescent="0.25">
      <c r="A7" s="29" t="s">
        <v>103</v>
      </c>
      <c r="B7" s="30">
        <v>395538284.89999998</v>
      </c>
    </row>
    <row r="8" spans="1:3" x14ac:dyDescent="0.25">
      <c r="A8" s="29" t="s">
        <v>104</v>
      </c>
      <c r="B8" s="31">
        <f>+(B6-B7)/(B7)*100</f>
        <v>-16.607313983931366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B90D-CCB3-4B2F-8A79-917E994733EF}">
  <dimension ref="A3:K40"/>
  <sheetViews>
    <sheetView tabSelected="1" zoomScale="70" zoomScaleNormal="70" workbookViewId="0">
      <selection activeCell="D45" sqref="D45"/>
    </sheetView>
  </sheetViews>
  <sheetFormatPr baseColWidth="10" defaultColWidth="9.140625" defaultRowHeight="15" x14ac:dyDescent="0.25"/>
  <cols>
    <col min="1" max="1" width="45.85546875" style="35" customWidth="1"/>
    <col min="2" max="2" width="18.140625" style="35" customWidth="1"/>
    <col min="3" max="3" width="42" style="35" customWidth="1"/>
    <col min="4" max="4" width="20" style="35" customWidth="1"/>
    <col min="5" max="5" width="37" style="35" customWidth="1"/>
    <col min="6" max="6" width="28.42578125" style="35" customWidth="1"/>
    <col min="7" max="7" width="22" style="35" hidden="1" customWidth="1"/>
    <col min="8" max="8" width="17" style="35" customWidth="1"/>
    <col min="9" max="10" width="9.140625" style="35"/>
    <col min="11" max="11" width="25.140625" style="35" customWidth="1"/>
    <col min="12" max="16384" width="9.140625" style="35"/>
  </cols>
  <sheetData>
    <row r="3" spans="1:8" x14ac:dyDescent="0.25">
      <c r="A3" s="34" t="s">
        <v>105</v>
      </c>
      <c r="B3" s="34" t="s">
        <v>150</v>
      </c>
      <c r="C3" s="34" t="s">
        <v>151</v>
      </c>
      <c r="D3" s="34" t="s">
        <v>106</v>
      </c>
      <c r="E3" s="37" t="s">
        <v>107</v>
      </c>
      <c r="F3" s="37" t="s">
        <v>146</v>
      </c>
      <c r="G3" s="38" t="s">
        <v>143</v>
      </c>
      <c r="H3" s="34" t="s">
        <v>108</v>
      </c>
    </row>
    <row r="4" spans="1:8" x14ac:dyDescent="0.25">
      <c r="A4" s="80" t="s">
        <v>144</v>
      </c>
      <c r="B4" s="96" t="s">
        <v>152</v>
      </c>
      <c r="C4" s="92" t="s">
        <v>109</v>
      </c>
      <c r="D4" s="76">
        <v>46132</v>
      </c>
      <c r="E4" s="41">
        <v>5</v>
      </c>
      <c r="F4" s="63">
        <f>+TCO!B11</f>
        <v>98884571.21513851</v>
      </c>
      <c r="G4" s="57">
        <v>47</v>
      </c>
      <c r="H4" s="76">
        <v>46136</v>
      </c>
    </row>
    <row r="5" spans="1:8" x14ac:dyDescent="0.25">
      <c r="A5" s="81"/>
      <c r="B5" s="96" t="s">
        <v>153</v>
      </c>
      <c r="C5" s="92" t="s">
        <v>110</v>
      </c>
      <c r="D5" s="76">
        <v>46139</v>
      </c>
      <c r="E5" s="41">
        <v>4</v>
      </c>
      <c r="F5" s="64"/>
      <c r="G5" s="58"/>
      <c r="H5" s="76">
        <v>46142</v>
      </c>
    </row>
    <row r="6" spans="1:8" x14ac:dyDescent="0.25">
      <c r="A6" s="81"/>
      <c r="B6" s="96" t="s">
        <v>154</v>
      </c>
      <c r="C6" s="92" t="s">
        <v>111</v>
      </c>
      <c r="D6" s="76">
        <v>46143</v>
      </c>
      <c r="E6" s="41">
        <v>6</v>
      </c>
      <c r="F6" s="64"/>
      <c r="G6" s="58"/>
      <c r="H6" s="76">
        <v>46150</v>
      </c>
    </row>
    <row r="7" spans="1:8" x14ac:dyDescent="0.25">
      <c r="A7" s="81"/>
      <c r="B7" s="96" t="s">
        <v>155</v>
      </c>
      <c r="C7" s="92" t="s">
        <v>112</v>
      </c>
      <c r="D7" s="76">
        <v>46153</v>
      </c>
      <c r="E7" s="41">
        <v>8</v>
      </c>
      <c r="F7" s="64"/>
      <c r="G7" s="58"/>
      <c r="H7" s="76">
        <v>46163</v>
      </c>
    </row>
    <row r="8" spans="1:8" x14ac:dyDescent="0.25">
      <c r="A8" s="81"/>
      <c r="B8" s="96" t="s">
        <v>156</v>
      </c>
      <c r="C8" s="92" t="s">
        <v>113</v>
      </c>
      <c r="D8" s="76">
        <v>46164</v>
      </c>
      <c r="E8" s="41">
        <v>7</v>
      </c>
      <c r="F8" s="64"/>
      <c r="G8" s="58"/>
      <c r="H8" s="76">
        <v>46174</v>
      </c>
    </row>
    <row r="9" spans="1:8" x14ac:dyDescent="0.25">
      <c r="A9" s="81"/>
      <c r="B9" s="96" t="s">
        <v>157</v>
      </c>
      <c r="C9" s="92" t="s">
        <v>114</v>
      </c>
      <c r="D9" s="76">
        <v>46175</v>
      </c>
      <c r="E9" s="41">
        <v>6</v>
      </c>
      <c r="F9" s="64"/>
      <c r="G9" s="58"/>
      <c r="H9" s="76">
        <v>46183</v>
      </c>
    </row>
    <row r="10" spans="1:8" x14ac:dyDescent="0.25">
      <c r="A10" s="81"/>
      <c r="B10" s="96" t="s">
        <v>158</v>
      </c>
      <c r="C10" s="92" t="s">
        <v>115</v>
      </c>
      <c r="D10" s="76">
        <v>46184</v>
      </c>
      <c r="E10" s="41">
        <v>8</v>
      </c>
      <c r="F10" s="64"/>
      <c r="G10" s="58"/>
      <c r="H10" s="76">
        <v>46196</v>
      </c>
    </row>
    <row r="11" spans="1:8" x14ac:dyDescent="0.25">
      <c r="A11" s="82"/>
      <c r="B11" s="96" t="s">
        <v>159</v>
      </c>
      <c r="C11" s="92" t="s">
        <v>116</v>
      </c>
      <c r="D11" s="76">
        <v>46195</v>
      </c>
      <c r="E11" s="41">
        <v>3</v>
      </c>
      <c r="F11" s="65"/>
      <c r="G11" s="59"/>
      <c r="H11" s="76">
        <v>46197</v>
      </c>
    </row>
    <row r="12" spans="1:8" x14ac:dyDescent="0.25">
      <c r="A12" s="83" t="s">
        <v>145</v>
      </c>
      <c r="B12" s="97" t="s">
        <v>160</v>
      </c>
      <c r="C12" s="93" t="s">
        <v>117</v>
      </c>
      <c r="D12" s="77">
        <v>46198</v>
      </c>
      <c r="E12" s="42">
        <v>5</v>
      </c>
      <c r="F12" s="66">
        <f>+TCO!B11</f>
        <v>98884571.21513851</v>
      </c>
      <c r="G12" s="60">
        <v>38</v>
      </c>
      <c r="H12" s="77">
        <v>46205</v>
      </c>
    </row>
    <row r="13" spans="1:8" x14ac:dyDescent="0.25">
      <c r="A13" s="84"/>
      <c r="B13" s="97" t="s">
        <v>161</v>
      </c>
      <c r="C13" s="93" t="s">
        <v>118</v>
      </c>
      <c r="D13" s="77">
        <v>46203</v>
      </c>
      <c r="E13" s="42">
        <v>5</v>
      </c>
      <c r="F13" s="67"/>
      <c r="G13" s="61"/>
      <c r="H13" s="77">
        <v>46209</v>
      </c>
    </row>
    <row r="14" spans="1:8" x14ac:dyDescent="0.25">
      <c r="A14" s="84"/>
      <c r="B14" s="97" t="s">
        <v>162</v>
      </c>
      <c r="C14" s="93" t="s">
        <v>119</v>
      </c>
      <c r="D14" s="77">
        <v>46206</v>
      </c>
      <c r="E14" s="42">
        <v>5</v>
      </c>
      <c r="F14" s="67"/>
      <c r="G14" s="61"/>
      <c r="H14" s="77">
        <v>46212</v>
      </c>
    </row>
    <row r="15" spans="1:8" x14ac:dyDescent="0.25">
      <c r="A15" s="84"/>
      <c r="B15" s="97" t="s">
        <v>163</v>
      </c>
      <c r="C15" s="93" t="s">
        <v>120</v>
      </c>
      <c r="D15" s="77">
        <v>46210</v>
      </c>
      <c r="E15" s="42">
        <v>5</v>
      </c>
      <c r="F15" s="67"/>
      <c r="G15" s="61"/>
      <c r="H15" s="77">
        <v>46216</v>
      </c>
    </row>
    <row r="16" spans="1:8" x14ac:dyDescent="0.25">
      <c r="A16" s="84"/>
      <c r="B16" s="97" t="s">
        <v>164</v>
      </c>
      <c r="C16" s="93" t="s">
        <v>121</v>
      </c>
      <c r="D16" s="77">
        <v>46213</v>
      </c>
      <c r="E16" s="42">
        <v>5</v>
      </c>
      <c r="F16" s="67"/>
      <c r="G16" s="61"/>
      <c r="H16" s="77">
        <v>46219</v>
      </c>
    </row>
    <row r="17" spans="1:11" x14ac:dyDescent="0.25">
      <c r="A17" s="84"/>
      <c r="B17" s="97" t="s">
        <v>165</v>
      </c>
      <c r="C17" s="93" t="s">
        <v>122</v>
      </c>
      <c r="D17" s="77">
        <v>46217</v>
      </c>
      <c r="E17" s="42">
        <v>10</v>
      </c>
      <c r="F17" s="67"/>
      <c r="G17" s="61"/>
      <c r="H17" s="77">
        <v>46231</v>
      </c>
    </row>
    <row r="18" spans="1:11" x14ac:dyDescent="0.25">
      <c r="A18" s="85"/>
      <c r="B18" s="97" t="s">
        <v>166</v>
      </c>
      <c r="C18" s="93" t="s">
        <v>123</v>
      </c>
      <c r="D18" s="77">
        <v>46225</v>
      </c>
      <c r="E18" s="42">
        <v>3</v>
      </c>
      <c r="F18" s="68"/>
      <c r="G18" s="62"/>
      <c r="H18" s="77">
        <v>46227</v>
      </c>
      <c r="K18" s="40"/>
    </row>
    <row r="19" spans="1:11" x14ac:dyDescent="0.25">
      <c r="A19" s="86" t="s">
        <v>147</v>
      </c>
      <c r="B19" s="98" t="s">
        <v>167</v>
      </c>
      <c r="C19" s="94" t="s">
        <v>124</v>
      </c>
      <c r="D19" s="78">
        <v>46230</v>
      </c>
      <c r="E19" s="44">
        <v>8</v>
      </c>
      <c r="F19" s="51">
        <f>+F12</f>
        <v>98884571.21513851</v>
      </c>
      <c r="G19" s="54">
        <v>70</v>
      </c>
      <c r="H19" s="78">
        <v>46239</v>
      </c>
    </row>
    <row r="20" spans="1:11" x14ac:dyDescent="0.25">
      <c r="A20" s="87"/>
      <c r="B20" s="98" t="s">
        <v>168</v>
      </c>
      <c r="C20" s="94" t="s">
        <v>125</v>
      </c>
      <c r="D20" s="78">
        <v>46233</v>
      </c>
      <c r="E20" s="44">
        <v>8</v>
      </c>
      <c r="F20" s="52"/>
      <c r="G20" s="55"/>
      <c r="H20" s="78">
        <v>46244</v>
      </c>
    </row>
    <row r="21" spans="1:11" x14ac:dyDescent="0.25">
      <c r="A21" s="87"/>
      <c r="B21" s="98" t="s">
        <v>169</v>
      </c>
      <c r="C21" s="94" t="s">
        <v>126</v>
      </c>
      <c r="D21" s="78">
        <v>46240</v>
      </c>
      <c r="E21" s="44">
        <v>6</v>
      </c>
      <c r="F21" s="52"/>
      <c r="G21" s="55"/>
      <c r="H21" s="78">
        <v>46249</v>
      </c>
    </row>
    <row r="22" spans="1:11" x14ac:dyDescent="0.25">
      <c r="A22" s="87"/>
      <c r="B22" s="98" t="s">
        <v>170</v>
      </c>
      <c r="C22" s="94" t="s">
        <v>127</v>
      </c>
      <c r="D22" s="78">
        <v>46247</v>
      </c>
      <c r="E22" s="44">
        <v>15</v>
      </c>
      <c r="F22" s="52"/>
      <c r="G22" s="55"/>
      <c r="H22" s="78">
        <v>46267</v>
      </c>
    </row>
    <row r="23" spans="1:11" x14ac:dyDescent="0.25">
      <c r="A23" s="87"/>
      <c r="B23" s="98" t="s">
        <v>171</v>
      </c>
      <c r="C23" s="94" t="s">
        <v>128</v>
      </c>
      <c r="D23" s="78">
        <v>46268</v>
      </c>
      <c r="E23" s="44">
        <v>3</v>
      </c>
      <c r="F23" s="52"/>
      <c r="G23" s="55"/>
      <c r="H23" s="78">
        <v>46270</v>
      </c>
    </row>
    <row r="24" spans="1:11" x14ac:dyDescent="0.25">
      <c r="A24" s="87"/>
      <c r="B24" s="98" t="s">
        <v>172</v>
      </c>
      <c r="C24" s="94" t="s">
        <v>129</v>
      </c>
      <c r="D24" s="78">
        <v>46268</v>
      </c>
      <c r="E24" s="44">
        <v>12</v>
      </c>
      <c r="F24" s="52"/>
      <c r="G24" s="55"/>
      <c r="H24" s="78">
        <v>46283</v>
      </c>
    </row>
    <row r="25" spans="1:11" x14ac:dyDescent="0.25">
      <c r="A25" s="87"/>
      <c r="B25" s="98" t="s">
        <v>173</v>
      </c>
      <c r="C25" s="94" t="s">
        <v>130</v>
      </c>
      <c r="D25" s="78">
        <v>46282</v>
      </c>
      <c r="E25" s="44">
        <v>15</v>
      </c>
      <c r="F25" s="52"/>
      <c r="G25" s="55"/>
      <c r="H25" s="78">
        <v>46302</v>
      </c>
    </row>
    <row r="26" spans="1:11" x14ac:dyDescent="0.25">
      <c r="A26" s="88"/>
      <c r="B26" s="98" t="s">
        <v>174</v>
      </c>
      <c r="C26" s="94" t="s">
        <v>128</v>
      </c>
      <c r="D26" s="78">
        <v>46303</v>
      </c>
      <c r="E26" s="44">
        <v>3</v>
      </c>
      <c r="F26" s="53"/>
      <c r="G26" s="56"/>
      <c r="H26" s="78">
        <v>46307</v>
      </c>
    </row>
    <row r="27" spans="1:11" x14ac:dyDescent="0.25">
      <c r="A27" s="89" t="s">
        <v>148</v>
      </c>
      <c r="B27" s="99" t="s">
        <v>175</v>
      </c>
      <c r="C27" s="95" t="s">
        <v>131</v>
      </c>
      <c r="D27" s="79">
        <v>46308</v>
      </c>
      <c r="E27" s="43">
        <v>20</v>
      </c>
      <c r="F27" s="48">
        <f>+F19</f>
        <v>98884571.21513851</v>
      </c>
      <c r="G27" s="45">
        <v>88</v>
      </c>
      <c r="H27" s="79">
        <v>46335</v>
      </c>
    </row>
    <row r="28" spans="1:11" x14ac:dyDescent="0.25">
      <c r="A28" s="90"/>
      <c r="B28" s="99" t="s">
        <v>176</v>
      </c>
      <c r="C28" s="95" t="s">
        <v>132</v>
      </c>
      <c r="D28" s="79">
        <v>46329</v>
      </c>
      <c r="E28" s="43">
        <v>15</v>
      </c>
      <c r="F28" s="49"/>
      <c r="G28" s="46"/>
      <c r="H28" s="79">
        <v>46349</v>
      </c>
    </row>
    <row r="29" spans="1:11" x14ac:dyDescent="0.25">
      <c r="A29" s="90"/>
      <c r="B29" s="99" t="s">
        <v>177</v>
      </c>
      <c r="C29" s="95" t="s">
        <v>133</v>
      </c>
      <c r="D29" s="79">
        <v>46350</v>
      </c>
      <c r="E29" s="43">
        <v>5</v>
      </c>
      <c r="F29" s="49"/>
      <c r="G29" s="46"/>
      <c r="H29" s="79">
        <v>46356</v>
      </c>
    </row>
    <row r="30" spans="1:11" x14ac:dyDescent="0.25">
      <c r="A30" s="90"/>
      <c r="B30" s="99" t="s">
        <v>178</v>
      </c>
      <c r="C30" s="95" t="s">
        <v>134</v>
      </c>
      <c r="D30" s="79">
        <v>46352</v>
      </c>
      <c r="E30" s="43">
        <v>5</v>
      </c>
      <c r="F30" s="49"/>
      <c r="G30" s="46"/>
      <c r="H30" s="79">
        <v>46358</v>
      </c>
    </row>
    <row r="31" spans="1:11" x14ac:dyDescent="0.25">
      <c r="A31" s="90"/>
      <c r="B31" s="99" t="s">
        <v>179</v>
      </c>
      <c r="C31" s="95" t="s">
        <v>128</v>
      </c>
      <c r="D31" s="79">
        <v>46359</v>
      </c>
      <c r="E31" s="43">
        <v>3</v>
      </c>
      <c r="F31" s="49"/>
      <c r="G31" s="46"/>
      <c r="H31" s="79">
        <v>46363</v>
      </c>
    </row>
    <row r="32" spans="1:11" x14ac:dyDescent="0.25">
      <c r="A32" s="90"/>
      <c r="B32" s="99" t="s">
        <v>180</v>
      </c>
      <c r="C32" s="95" t="s">
        <v>135</v>
      </c>
      <c r="D32" s="79">
        <v>46365</v>
      </c>
      <c r="E32" s="43">
        <v>10</v>
      </c>
      <c r="F32" s="49"/>
      <c r="G32" s="46"/>
      <c r="H32" s="79">
        <v>46380</v>
      </c>
    </row>
    <row r="33" spans="1:8" x14ac:dyDescent="0.25">
      <c r="A33" s="90"/>
      <c r="B33" s="99" t="s">
        <v>181</v>
      </c>
      <c r="C33" s="95" t="s">
        <v>136</v>
      </c>
      <c r="D33" s="79">
        <v>46378</v>
      </c>
      <c r="E33" s="43">
        <v>6</v>
      </c>
      <c r="F33" s="49"/>
      <c r="G33" s="46"/>
      <c r="H33" s="79">
        <v>46385</v>
      </c>
    </row>
    <row r="34" spans="1:8" x14ac:dyDescent="0.25">
      <c r="A34" s="90"/>
      <c r="B34" s="99" t="s">
        <v>182</v>
      </c>
      <c r="C34" s="95" t="s">
        <v>137</v>
      </c>
      <c r="D34" s="79">
        <v>46386</v>
      </c>
      <c r="E34" s="43">
        <v>5</v>
      </c>
      <c r="F34" s="49"/>
      <c r="G34" s="46"/>
      <c r="H34" s="79">
        <v>46392</v>
      </c>
    </row>
    <row r="35" spans="1:8" x14ac:dyDescent="0.25">
      <c r="A35" s="90"/>
      <c r="B35" s="99" t="s">
        <v>183</v>
      </c>
      <c r="C35" s="95" t="s">
        <v>138</v>
      </c>
      <c r="D35" s="79">
        <v>46387</v>
      </c>
      <c r="E35" s="43">
        <v>8</v>
      </c>
      <c r="F35" s="49"/>
      <c r="G35" s="46"/>
      <c r="H35" s="79">
        <v>46399</v>
      </c>
    </row>
    <row r="36" spans="1:8" x14ac:dyDescent="0.25">
      <c r="A36" s="90"/>
      <c r="B36" s="99" t="s">
        <v>184</v>
      </c>
      <c r="C36" s="95" t="s">
        <v>139</v>
      </c>
      <c r="D36" s="79">
        <v>46400</v>
      </c>
      <c r="E36" s="43">
        <v>8</v>
      </c>
      <c r="F36" s="49"/>
      <c r="G36" s="46"/>
      <c r="H36" s="79">
        <v>46409</v>
      </c>
    </row>
    <row r="37" spans="1:8" x14ac:dyDescent="0.25">
      <c r="A37" s="91"/>
      <c r="B37" s="99" t="s">
        <v>185</v>
      </c>
      <c r="C37" s="95" t="s">
        <v>140</v>
      </c>
      <c r="D37" s="79">
        <v>46412</v>
      </c>
      <c r="E37" s="43">
        <v>3</v>
      </c>
      <c r="F37" s="50"/>
      <c r="G37" s="47"/>
      <c r="H37" s="79">
        <v>46414</v>
      </c>
    </row>
    <row r="39" spans="1:8" x14ac:dyDescent="0.25">
      <c r="C39" s="35" t="s">
        <v>141</v>
      </c>
      <c r="D39" s="36">
        <f>+MIN(D4:D37)</f>
        <v>46132</v>
      </c>
    </row>
    <row r="40" spans="1:8" x14ac:dyDescent="0.25">
      <c r="C40" s="35" t="s">
        <v>142</v>
      </c>
      <c r="D40" s="36">
        <f>+MAX(H4:H37)</f>
        <v>46414</v>
      </c>
    </row>
  </sheetData>
  <mergeCells count="12">
    <mergeCell ref="G4:G11"/>
    <mergeCell ref="A4:A11"/>
    <mergeCell ref="A12:A18"/>
    <mergeCell ref="G12:G18"/>
    <mergeCell ref="F4:F11"/>
    <mergeCell ref="F12:F18"/>
    <mergeCell ref="A19:A26"/>
    <mergeCell ref="F19:F26"/>
    <mergeCell ref="G19:G26"/>
    <mergeCell ref="A27:A37"/>
    <mergeCell ref="F27:F37"/>
    <mergeCell ref="G27:G37"/>
  </mergeCells>
  <phoneticPr fontId="1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Costos Personal</vt:lpstr>
      <vt:lpstr>Infraestructura</vt:lpstr>
      <vt:lpstr>Equipos</vt:lpstr>
      <vt:lpstr>Matriz Riesgos</vt:lpstr>
      <vt:lpstr>PROYECCION</vt:lpstr>
      <vt:lpstr>TCO</vt:lpstr>
      <vt:lpstr>ROI</vt:lpstr>
      <vt:lpstr>Diagrama de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FABIAN RIVERA JIMENEZ</cp:lastModifiedBy>
  <dcterms:created xsi:type="dcterms:W3CDTF">2026-05-07T01:43:07Z</dcterms:created>
  <dcterms:modified xsi:type="dcterms:W3CDTF">2026-05-28T17:38:14Z</dcterms:modified>
</cp:coreProperties>
</file>